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belc\Downloads\"/>
    </mc:Choice>
  </mc:AlternateContent>
  <xr:revisionPtr revIDLastSave="0" documentId="13_ncr:1_{6D6F8037-9555-40E9-9A79-0B6C0B34270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mpact vs Elite" sheetId="2" r:id="rId1"/>
    <sheet name="Pro vs Black" sheetId="3" r:id="rId2"/>
    <sheet name="Advanced vs Black RX" sheetId="4" r:id="rId3"/>
    <sheet name="Pro Tech vs Genesis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5" l="1"/>
  <c r="H16" i="5" s="1"/>
  <c r="G15" i="5"/>
  <c r="H15" i="5" s="1"/>
  <c r="G14" i="5"/>
  <c r="H14" i="5" s="1"/>
  <c r="G13" i="5"/>
  <c r="H13" i="5" s="1"/>
  <c r="G12" i="5"/>
  <c r="H12" i="5" s="1"/>
  <c r="G11" i="5"/>
  <c r="H11" i="5" s="1"/>
  <c r="G10" i="5"/>
  <c r="H10" i="5" s="1"/>
  <c r="G9" i="5"/>
  <c r="H9" i="5" s="1"/>
  <c r="G8" i="5"/>
  <c r="H8" i="5" s="1"/>
  <c r="G7" i="5"/>
  <c r="H7" i="5" s="1"/>
  <c r="G6" i="5"/>
  <c r="H6" i="5" s="1"/>
  <c r="G5" i="5"/>
  <c r="H5" i="5" s="1"/>
  <c r="G4" i="5"/>
  <c r="H4" i="5" s="1"/>
  <c r="G3" i="5"/>
  <c r="H3" i="5" s="1"/>
  <c r="G2" i="5"/>
  <c r="H2" i="5" s="1"/>
  <c r="G20" i="4"/>
  <c r="H20" i="4" s="1"/>
  <c r="G19" i="4"/>
  <c r="H19" i="4" s="1"/>
  <c r="G18" i="4"/>
  <c r="H18" i="4" s="1"/>
  <c r="G17" i="4"/>
  <c r="H17" i="4" s="1"/>
  <c r="G16" i="4"/>
  <c r="H16" i="4" s="1"/>
  <c r="G15" i="4"/>
  <c r="H15" i="4" s="1"/>
  <c r="G14" i="4"/>
  <c r="H14" i="4" s="1"/>
  <c r="G13" i="4"/>
  <c r="H13" i="4" s="1"/>
  <c r="G12" i="4"/>
  <c r="H12" i="4" s="1"/>
  <c r="G11" i="4"/>
  <c r="H11" i="4" s="1"/>
  <c r="G10" i="4"/>
  <c r="H10" i="4" s="1"/>
  <c r="G9" i="4"/>
  <c r="H9" i="4" s="1"/>
  <c r="G8" i="4"/>
  <c r="H8" i="4" s="1"/>
  <c r="G7" i="4"/>
  <c r="H7" i="4" s="1"/>
  <c r="G6" i="4"/>
  <c r="H6" i="4" s="1"/>
  <c r="G4" i="4"/>
  <c r="H4" i="4" s="1"/>
  <c r="G3" i="4"/>
  <c r="H3" i="4" s="1"/>
  <c r="G2" i="4"/>
  <c r="H2" i="4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3" i="3"/>
  <c r="H13" i="3" s="1"/>
  <c r="G12" i="3"/>
  <c r="H12" i="3" s="1"/>
  <c r="G11" i="3"/>
  <c r="H11" i="3" s="1"/>
  <c r="G10" i="3"/>
  <c r="H10" i="3" s="1"/>
  <c r="G9" i="3"/>
  <c r="H9" i="3" s="1"/>
  <c r="G8" i="3"/>
  <c r="H8" i="3" s="1"/>
  <c r="G7" i="3"/>
  <c r="H7" i="3" s="1"/>
  <c r="G6" i="3"/>
  <c r="H6" i="3" s="1"/>
  <c r="G5" i="3"/>
  <c r="H5" i="3" s="1"/>
  <c r="G4" i="3"/>
  <c r="H4" i="3" s="1"/>
  <c r="G3" i="3"/>
  <c r="H3" i="3" s="1"/>
  <c r="G18" i="2"/>
  <c r="H18" i="2" s="1"/>
  <c r="G17" i="2"/>
  <c r="H17" i="2" s="1"/>
  <c r="G16" i="2"/>
  <c r="H16" i="2" s="1"/>
  <c r="G15" i="2"/>
  <c r="H15" i="2" s="1"/>
  <c r="G14" i="2"/>
  <c r="H14" i="2" s="1"/>
  <c r="G13" i="2"/>
  <c r="H13" i="2" s="1"/>
  <c r="G12" i="2"/>
  <c r="H12" i="2" s="1"/>
  <c r="G11" i="2"/>
  <c r="H11" i="2" s="1"/>
  <c r="G10" i="2"/>
  <c r="H10" i="2" s="1"/>
  <c r="G9" i="2"/>
  <c r="H9" i="2" s="1"/>
  <c r="G8" i="2"/>
  <c r="H8" i="2" s="1"/>
  <c r="G7" i="2"/>
  <c r="H7" i="2" s="1"/>
  <c r="G6" i="2"/>
  <c r="H6" i="2" s="1"/>
  <c r="G5" i="2"/>
  <c r="H5" i="2" s="1"/>
  <c r="G4" i="2"/>
  <c r="H4" i="2" s="1"/>
  <c r="G3" i="2"/>
  <c r="H3" i="2" s="1"/>
  <c r="G2" i="2"/>
  <c r="H2" i="2" s="1"/>
</calcChain>
</file>

<file path=xl/sharedStrings.xml><?xml version="1.0" encoding="utf-8"?>
<sst xmlns="http://schemas.openxmlformats.org/spreadsheetml/2006/main" count="528" uniqueCount="258">
  <si>
    <t>Sin equivalente</t>
  </si>
  <si>
    <t>Máquina Fitness Tech</t>
  </si>
  <si>
    <t>PSE-28568</t>
  </si>
  <si>
    <t>Elevaciones Laterales y Contracción Pectoral · Dual</t>
  </si>
  <si>
    <t>SE-28981</t>
  </si>
  <si>
    <t>Gemelo Sentado</t>
  </si>
  <si>
    <t>SKU Fitness Tech</t>
  </si>
  <si>
    <t>PVP FT</t>
  </si>
  <si>
    <t>Equivalencia</t>
  </si>
  <si>
    <t>Máquina Titanium</t>
  </si>
  <si>
    <t>PVP Titanium</t>
  </si>
  <si>
    <t>Dif. FT − Titanium</t>
  </si>
  <si>
    <t>Variación vs Titanium</t>
  </si>
  <si>
    <t>Enlace disponible</t>
  </si>
  <si>
    <t>URL Titanium</t>
  </si>
  <si>
    <t>Observaciones</t>
  </si>
  <si>
    <t>SE-28838</t>
  </si>
  <si>
    <t>Crunch Abdominal y Extensión de Espalda · Dual</t>
  </si>
  <si>
    <t>Directa</t>
  </si>
  <si>
    <t>Dual Abdominales y Extensión de Espalda Elite Series</t>
  </si>
  <si>
    <t>Sí</t>
  </si>
  <si>
    <t>https://www.titaniumstrength.es/selectorizada-dual-abdominales-y-extension-de-espalda.html</t>
  </si>
  <si>
    <t>Misma doble función principal</t>
  </si>
  <si>
    <t>SE-28837</t>
  </si>
  <si>
    <t>Curl Bíceps y Extensión Tríceps · Dual</t>
  </si>
  <si>
    <t>Dual Curl de Bíceps y Extensión de Tríceps Elite Series</t>
  </si>
  <si>
    <t>https://www.titaniumstrength.es/selectorizada-dual-curl-de-biceps-y-extension-de-triceps.html</t>
  </si>
  <si>
    <t>SE-28776</t>
  </si>
  <si>
    <t>Extensión de Cuádriceps</t>
  </si>
  <si>
    <t>Extensión de Cuádriceps Elite Series</t>
  </si>
  <si>
    <t>https://www.titaniumstrength.es/selectorizada-extension-de-cuadriceps.html</t>
  </si>
  <si>
    <t>Misma función principal</t>
  </si>
  <si>
    <t>SE-28774</t>
  </si>
  <si>
    <t>Femoral Sentado</t>
  </si>
  <si>
    <t>Curl Femoral Sentado Elite Series</t>
  </si>
  <si>
    <t>https://www.titaniumstrength.es/selectorizada-curl-femoral-sentado.html</t>
  </si>
  <si>
    <t>Misma función y postura</t>
  </si>
  <si>
    <t>SE-28775</t>
  </si>
  <si>
    <t>Femoral Tumbado</t>
  </si>
  <si>
    <t>Femoral Tumbado Elite Series</t>
  </si>
  <si>
    <t>https://www.titaniumstrength.es/selectorizada-femoral-tumbado.html</t>
  </si>
  <si>
    <t>PSE-28778</t>
  </si>
  <si>
    <t>Patada de Glúteo</t>
  </si>
  <si>
    <t>Patada de Glúteo de Pie Elite Series</t>
  </si>
  <si>
    <t>https://www.titaniumstrength.es/selectorizada-patada-de-gluteo-de-pie.html</t>
  </si>
  <si>
    <t>SE-28779</t>
  </si>
  <si>
    <t>Polea Alta y Baja · Dual</t>
  </si>
  <si>
    <t>Aproximada</t>
  </si>
  <si>
    <t>Polea Alta y Remo Elite Series</t>
  </si>
  <si>
    <t>https://www.titaniumstrength.es/titanium-strength-elite-series-polea-alta-y-remo.html</t>
  </si>
  <si>
    <t>Titanium combina polea alta con remo; configuración no idéntica</t>
  </si>
  <si>
    <t>SE-28836</t>
  </si>
  <si>
    <t>Press de Hombro y Pecho · Dual</t>
  </si>
  <si>
    <t>Dual Pecho y Hombro de Pie Elite Series</t>
  </si>
  <si>
    <t>https://www.titaniumstrength.es/selectorizada-dual-pecho-y-hombro-de-pie.html</t>
  </si>
  <si>
    <t>Misma doble función, pero Titanium trabaja de pie</t>
  </si>
  <si>
    <t>SE-28831</t>
  </si>
  <si>
    <t>Press de Pecho</t>
  </si>
  <si>
    <t>Press de Pecho Vertical Elite Series</t>
  </si>
  <si>
    <t>https://www.titaniumstrength.es/press-de-pecho-vertical-palanca.html</t>
  </si>
  <si>
    <t>SE-28832</t>
  </si>
  <si>
    <t>Press Hombro</t>
  </si>
  <si>
    <t>Press de Hombro Elite Series</t>
  </si>
  <si>
    <t>https://www.titaniumstrength.es/selectorizada-press-de-hombro.html</t>
  </si>
  <si>
    <t>SE-28833</t>
  </si>
  <si>
    <t>Remo Sentado</t>
  </si>
  <si>
    <t>Remo Sentado Elite Series</t>
  </si>
  <si>
    <t>https://www.titaniumstrength.es/selectorizada-remo-sentado.html</t>
  </si>
  <si>
    <t>SE-28781</t>
  </si>
  <si>
    <t>Abductor-Aductor · Dual</t>
  </si>
  <si>
    <t>Selectorizada Abductor-Aductor Elite Series</t>
  </si>
  <si>
    <t>https://www.titaniumstrength.es/titanium-strength-elite-series-abductor-aductor.html</t>
  </si>
  <si>
    <t>SE-28773</t>
  </si>
  <si>
    <t>Aperturas de Pecho y Deltoides · Dual</t>
  </si>
  <si>
    <t>Selectorizada Dual Aperturas y Deltoides Elite Series</t>
  </si>
  <si>
    <t>https://www.titaniumstrength.es/selectorizada-aperturas-invertidas.html</t>
  </si>
  <si>
    <t>SE-28780</t>
  </si>
  <si>
    <t>Extensión de Cuádriceps y Femoral · Dual</t>
  </si>
  <si>
    <t>Extensión de Piernas y Femoral Sentado Elite Series</t>
  </si>
  <si>
    <t>https://www.titaniumstrength.es/titanium-strength-elite-series-extension-de-piernas-y-femoral-sentado.html</t>
  </si>
  <si>
    <t>Misma combinación funcional</t>
  </si>
  <si>
    <t>SE-28834</t>
  </si>
  <si>
    <t>Fondos y Dominadas · Dual</t>
  </si>
  <si>
    <t>Dual Fondos y Dominadas Asistidas Elite Series</t>
  </si>
  <si>
    <t>https://www.titaniumstrength.es/selectorizada-dual-fondos-y-dominadas-asistidas.html</t>
  </si>
  <si>
    <t>Misma doble función asistida</t>
  </si>
  <si>
    <t>SE-28777</t>
  </si>
  <si>
    <t>Prensa de Pierna</t>
  </si>
  <si>
    <t>Prensa Horizontal Elite Series</t>
  </si>
  <si>
    <t>https://www.titaniumstrength.es/selectorizada-prensa-horizontal.html</t>
  </si>
  <si>
    <t>SE-28835</t>
  </si>
  <si>
    <t>Remo en Polea</t>
  </si>
  <si>
    <t>Remo Polea Baja Elite Series</t>
  </si>
  <si>
    <t>https://www.titaniumstrength.es/selectorizada-remo-polea-baja.html</t>
  </si>
  <si>
    <t>Black Series ofrece ambas funciones en máquinas separadas, no en una única dual equivalente</t>
  </si>
  <si>
    <t>SE-28731</t>
  </si>
  <si>
    <t>Jalón al Pecho</t>
  </si>
  <si>
    <t>Jalón Polea Alta Black Series</t>
  </si>
  <si>
    <t>https://www.titaniumstrength.es/selectorizada-jalon-poleaalta.html</t>
  </si>
  <si>
    <t>Misma función principal; PVP Titanium promocionado</t>
  </si>
  <si>
    <t>SE-28737</t>
  </si>
  <si>
    <t>Abductor-Aductor Black Series</t>
  </si>
  <si>
    <t>https://www.titaniumstrength.es/titanium-strength-black-series-abductor-aductor.html</t>
  </si>
  <si>
    <t>SE-28807</t>
  </si>
  <si>
    <t>Dual Abdominales y Extensión de Espalda Black Series</t>
  </si>
  <si>
    <t>https://www.titaniumstrength.es/selectorizada-dual-abdominales-y-extension-deespalda.html</t>
  </si>
  <si>
    <t>SE-28806</t>
  </si>
  <si>
    <t>Curl de Bíceps y Extensión de Tríceps · Dual</t>
  </si>
  <si>
    <t>Dual Curl de Bíceps y Extensión de Tríceps Black Series</t>
  </si>
  <si>
    <t>https://www.titaniumstrength.es/selectorizada-dual-curl-de-biceps-y-extension-de-triceps-bs-s10.html</t>
  </si>
  <si>
    <t>SE-28733</t>
  </si>
  <si>
    <t>Extensión de Cuádriceps Black Series</t>
  </si>
  <si>
    <t>https://www.titaniumstrength.es/selectorizada-extension-de-cuadriceps-bs-s18.html</t>
  </si>
  <si>
    <t>SE-28738</t>
  </si>
  <si>
    <t>Curl Femoral Sentado Black Series</t>
  </si>
  <si>
    <t>https://www.titaniumstrength.es/selectorizada-curl-femoralsentado.html</t>
  </si>
  <si>
    <t>SE-28732</t>
  </si>
  <si>
    <t>Curl Femoral Tumbado Black Series</t>
  </si>
  <si>
    <t>https://www.titaniumstrength.es/selectorizada-curl-femoral-tumbado.html</t>
  </si>
  <si>
    <t>SE-28808</t>
  </si>
  <si>
    <t>Polea Alta y Remo Black Series</t>
  </si>
  <si>
    <t>https://www.titaniumstrength.es/titanium-strength-black-series-polea-alta-y-remo.html</t>
  </si>
  <si>
    <t>SE-28805</t>
  </si>
  <si>
    <t>Pecho y Hombro de Pie Black Series</t>
  </si>
  <si>
    <t>https://www.titaniumstrength.es/selectorizada-pecho-y-hombro-de-pie.html</t>
  </si>
  <si>
    <t>SE-28800</t>
  </si>
  <si>
    <t>Press de Pecho Vertical Black Series</t>
  </si>
  <si>
    <t>https://www.titaniumstrength.es/titanium-strength-black-series-press-de-pecho-vertical.html</t>
  </si>
  <si>
    <t>SE-28801</t>
  </si>
  <si>
    <t>Press Militar</t>
  </si>
  <si>
    <t>Press de Hombro Black Series</t>
  </si>
  <si>
    <t>https://www.titaniumstrength.es/titanium-strength-black-series-press-de-hombro.html</t>
  </si>
  <si>
    <t>SE-28804</t>
  </si>
  <si>
    <t>Remo Polea Baja</t>
  </si>
  <si>
    <t>Remo Polea Baja Black Series</t>
  </si>
  <si>
    <t>https://www.titaniumstrength.es/selectorizada-remo-poleabaja.html</t>
  </si>
  <si>
    <t>SE-28802</t>
  </si>
  <si>
    <t>Remo Sentado Black Series</t>
  </si>
  <si>
    <t>https://www.titaniumstrength.es/titanium-strength-black-series-remo-sentado.html</t>
  </si>
  <si>
    <t>Misma función y postura; PVP Titanium promocionado</t>
  </si>
  <si>
    <t>SE-28735</t>
  </si>
  <si>
    <t>Patada de Glúteo de Pie Black Series</t>
  </si>
  <si>
    <t>https://www.titaniumstrength.es/selectorizada-patada-de-gluteo-de-pie-black-series.html</t>
  </si>
  <si>
    <t>SE-28730</t>
  </si>
  <si>
    <t>Pec Deck Black Series</t>
  </si>
  <si>
    <t>https://www.titaniumstrength.es/selectorizada-pecdeck.html</t>
  </si>
  <si>
    <t>SE-28736</t>
  </si>
  <si>
    <t>Extensión de Piernas y Femoral Tumbado Black Series</t>
  </si>
  <si>
    <t>https://www.titaniumstrength.es/titanium-strength-black-series-extension-de-piernas-y-femoral-tumbado.html</t>
  </si>
  <si>
    <t>SE-28803</t>
  </si>
  <si>
    <t>Fondos y Dominadas Asistidas Black Series</t>
  </si>
  <si>
    <t>https://www.titaniumstrength.es/titanium-strength-black-series-fondos-y-dominadas-asistidas.html</t>
  </si>
  <si>
    <t>SE-28734</t>
  </si>
  <si>
    <t>Prensa de Piernas Horizontal Black Series</t>
  </si>
  <si>
    <t>https://www.titaniumstrength.es/selectorizada-prensa-de-piernas-horizontal.html</t>
  </si>
  <si>
    <t>SE-28977</t>
  </si>
  <si>
    <t>Extensión de Cuádriceps Black Series RX</t>
  </si>
  <si>
    <t>https://www.titaniumstrength.es/selectorizada-extension-de-cuadriceps-black-series-rx.html</t>
  </si>
  <si>
    <t>SE-28975</t>
  </si>
  <si>
    <t>Curl Femoral Sentado Black Series RX</t>
  </si>
  <si>
    <t>https://www.titaniumstrength.es/selectorizada-curl-femoral-sentado-black-series-rx.html</t>
  </si>
  <si>
    <t>SE-28976</t>
  </si>
  <si>
    <t>Curl Femoral Tumbado Black Series RX</t>
  </si>
  <si>
    <t>https://www.titaniumstrength.es/selectorizada-curl-femoral-tumbado-black-series-rx.html</t>
  </si>
  <si>
    <t>Black Series RX publica gemelo de pie, pero no se considera equivalente directo al gemelo sentado</t>
  </si>
  <si>
    <t>SE-28973</t>
  </si>
  <si>
    <t>Jalón Dorsal</t>
  </si>
  <si>
    <t>Jalón Dorsal Black Series RX</t>
  </si>
  <si>
    <t>https://www.titaniumstrength.es/selectorizada-jalon-dorsal-black-series-rx.html</t>
  </si>
  <si>
    <t>SE-28979</t>
  </si>
  <si>
    <t>Multicadera</t>
  </si>
  <si>
    <t>Multicadera Black Series RX</t>
  </si>
  <si>
    <t>https://www.titaniumstrength.es/selectorizada-multicadera-black-series-rx.html</t>
  </si>
  <si>
    <t>SE-28980</t>
  </si>
  <si>
    <t>Patada de Glúteos Black Series RX</t>
  </si>
  <si>
    <t>https://www.titaniumstrength.es/selectorizada-patada-de-gluteos-black-series-rx.html</t>
  </si>
  <si>
    <t>SE-28969</t>
  </si>
  <si>
    <t>Press de Pecho Vertical Black Series RX</t>
  </si>
  <si>
    <t>https://www.titaniumstrength.es/selectorizada-press-de-pecho-vertical-black-series-rx.html</t>
  </si>
  <si>
    <t>SE-28971</t>
  </si>
  <si>
    <t>Press de Hombro Black Series RX</t>
  </si>
  <si>
    <t>https://www.titaniumstrength.es/selectorizada-press-de-hombro-black-series-rx.html</t>
  </si>
  <si>
    <t>SE-28974</t>
  </si>
  <si>
    <t>Remo Bajo Black Series RX</t>
  </si>
  <si>
    <t>https://www.titaniumstrength.es/selectorizada-remo-bajo-black-series-rx.html</t>
  </si>
  <si>
    <t>SE-28972</t>
  </si>
  <si>
    <t>Remo sentado comparable, pero denominación y trayectoria no acreditan identidad</t>
  </si>
  <si>
    <t>SE-28987</t>
  </si>
  <si>
    <t>Abductor y Aductor Black Series RX</t>
  </si>
  <si>
    <t>https://www.titaniumstrength.es/selectorizada-abductor-y-aductor-black-series-rx.html</t>
  </si>
  <si>
    <t>SE-28970</t>
  </si>
  <si>
    <t>Aperturas y Deltoides Black Series RX</t>
  </si>
  <si>
    <t>https://www.titaniumstrength.es/selectorizada-aperturas-y-deltoides-black-series-rx.html</t>
  </si>
  <si>
    <t>SE-28984</t>
  </si>
  <si>
    <t>Dual Abdominales y Extensión de Espalda Black Series RX</t>
  </si>
  <si>
    <t>https://www.titaniumstrength.es/selectorizada-dual-abdominales-y-extension-de-espalda-black-series-rx.html</t>
  </si>
  <si>
    <t>SE-28983</t>
  </si>
  <si>
    <t>Dual Curl de Bíceps y Extensión de Tríceps Black Series RX</t>
  </si>
  <si>
    <t>https://www.titaniumstrength.es/selectorizada-dual-curl-de-biceps-y-extension-de-triceps-black-series-rx.html</t>
  </si>
  <si>
    <t>SE-28986</t>
  </si>
  <si>
    <t>Extensión de Piernas y Femoral Sentado Black Series RX</t>
  </si>
  <si>
    <t>https://www.titaniumstrength.es/selectorizada-extension-de-piernas-y-femoral-sentado-black-series-rx.html</t>
  </si>
  <si>
    <t>SE-28985</t>
  </si>
  <si>
    <t>Polea Alta y Remo Black Series RX</t>
  </si>
  <si>
    <t>https://www.titaniumstrength.es/selectorizada-polea-alta-y-remo-black-series-rx.html</t>
  </si>
  <si>
    <t>SE-28982</t>
  </si>
  <si>
    <t>Pecho y Hombro de Pie Black Series RX</t>
  </si>
  <si>
    <t>https://www.titaniumstrength.es/selectorizada-pecho-y-hombro-de-pie-black-series-rx.html</t>
  </si>
  <si>
    <t>SE-28978</t>
  </si>
  <si>
    <t>Prensa Horizontal Black Series RX</t>
  </si>
  <si>
    <t>https://www.titaniumstrength.es/selectorizada-prensa-horizontal-black-series-rx.html</t>
  </si>
  <si>
    <t>PSE-28994</t>
  </si>
  <si>
    <t>Elevaciones Laterales</t>
  </si>
  <si>
    <t>Elevaciones Laterales Unilateral Genesis Series</t>
  </si>
  <si>
    <t>https://www.titaniumstrength.es/genesis-series-selectorizada-elevaciones-laterales-unilateral.html</t>
  </si>
  <si>
    <t>PSE-28996</t>
  </si>
  <si>
    <t>Extensión de Cuádriceps Genesis Series</t>
  </si>
  <si>
    <t>https://www.titaniumstrength.es/genesis-series-selectorizada-extension-de-cuadriceps.html</t>
  </si>
  <si>
    <t>PSE-28997</t>
  </si>
  <si>
    <t>Curl Femoral Sentado Genesis Series</t>
  </si>
  <si>
    <t>https://www.titaniumstrength.es/genesis-series-selectorizada-curl-femoral-sentado.html</t>
  </si>
  <si>
    <t>PSE-28998</t>
  </si>
  <si>
    <t>Femoral Tumbado Genesis Series</t>
  </si>
  <si>
    <t>https://www.titaniumstrength.es/genesis-series-selectorizada-femoral-tumbado.html</t>
  </si>
  <si>
    <t>PSE-28991</t>
  </si>
  <si>
    <t>Press de Pecho Vertical Unilateral Genesis Series</t>
  </si>
  <si>
    <t>https://www.titaniumstrength.es/selectorizada-press-de-pecho-vertical-unilateral.html</t>
  </si>
  <si>
    <t>PSE-28993</t>
  </si>
  <si>
    <t>Press de Hombros Unilateral Genesis Series</t>
  </si>
  <si>
    <t>https://www.titaniumstrength.es/genesis-series-selectorizada-press-de-hombros.html</t>
  </si>
  <si>
    <t>PSE-28995</t>
  </si>
  <si>
    <t>Remo Sentado Unilateral Genesis Series</t>
  </si>
  <si>
    <t>https://www.titaniumstrength.es/genesis-series-selectorizada-remo-sentado-unilateral.html</t>
  </si>
  <si>
    <t>PSE-29004</t>
  </si>
  <si>
    <t>Abductor y Aductor Genesis Series</t>
  </si>
  <si>
    <t>https://www.titaniumstrength.es/selectorizada-abductor-aductor.html</t>
  </si>
  <si>
    <t>PSE-28992</t>
  </si>
  <si>
    <t>Dual Aperturas y Deltoides Genesis Series</t>
  </si>
  <si>
    <t>https://www.titaniumstrength.es/genesis-series-selectorizada-dual-aperturas-y-deltoides.html</t>
  </si>
  <si>
    <t>PSE-29005</t>
  </si>
  <si>
    <t>Abdominales y Extensión de Espalda Genesis Series</t>
  </si>
  <si>
    <t>https://www.titaniumstrength.es/selectorizada-abdominales-espalda.html</t>
  </si>
  <si>
    <t>PSE-29001</t>
  </si>
  <si>
    <t>Curl de Bíceps y Extensión de Tríceps Genesis Series</t>
  </si>
  <si>
    <t>https://www.titaniumstrength.es/selectorizada-curl-de-biceps-y-extension-de-triceps.html</t>
  </si>
  <si>
    <t>PSE-29002</t>
  </si>
  <si>
    <t>Polea Alta Unilateral y Remo Genesis Series</t>
  </si>
  <si>
    <t>https://www.titaniumstrength.es/selectorizada-polea-unilateral-remo.html</t>
  </si>
  <si>
    <t>PSE-29000</t>
  </si>
  <si>
    <t>Multipress 3 Funciones Genesis Series</t>
  </si>
  <si>
    <t>https://www.titaniumstrength.es/selectorizada-multipress-3-funciones.html</t>
  </si>
  <si>
    <t>Cubre pecho y hombro, pero añade una tercera función y no es idéntica</t>
  </si>
  <si>
    <t>PSE-29003</t>
  </si>
  <si>
    <t>Extensión de Piernas y Femoral Sentado Genesis Series</t>
  </si>
  <si>
    <t>https://www.titaniumstrength.es/selectorizada-piernas-femoral-sentado.html</t>
  </si>
  <si>
    <t>PSE-28999</t>
  </si>
  <si>
    <t>Prensa de Piernas Horizontal Genesis Series</t>
  </si>
  <si>
    <t>https://www.titaniumstrength.es/genesis-series-selectorizada-prensa-de-piernas-horizontal.html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</si>
</sst>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€&quot;"/>
    <numFmt numFmtId="165" formatCode="0.0%"/>
  </numFmts>
  <fonts count="5">
    <font>
      <sz val="11"/>
      <name val="Carlito"/>
    </font>
    <font>
      <b/>
      <sz val="9"/>
      <color rgb="FFFFFFFF"/>
      <name val="Aptos"/>
    </font>
    <font>
      <sz val="9"/>
      <color rgb="FF111827"/>
      <name val="Aptos"/>
    </font>
    <font>
      <sz val="9"/>
      <color rgb="FF111827"/>
      <name val="Aptos Mono"/>
    </font>
    <font>
      <b/>
      <sz val="9"/>
      <color rgb="FF175CD3"/>
      <name val="Aptos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vertical="center" wrapText="1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</cellXfs>
  <cellStyles count="1">
    <cellStyle name="Normal" xfId="0" builtinId="0"/>
  </cellStyles>
  <dxfs count="20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087A55"/>
      </font>
      <fill>
        <patternFill patternType="solid">
          <bgColor rgb="FFE8F7F1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A15C00"/>
      </font>
      <fill>
        <patternFill patternType="solid">
          <bgColor rgb="FFFFF4DF"/>
        </patternFill>
      </fill>
    </dxf>
    <dxf>
      <font>
        <b/>
        <color rgb="FF087A55"/>
      </font>
      <fill>
        <patternFill patternType="solid">
          <bgColor rgb="FFE8F7F1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087A55"/>
      </font>
      <fill>
        <patternFill patternType="solid">
          <bgColor rgb="FFE8F7F1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A15C00"/>
      </font>
      <fill>
        <patternFill patternType="solid">
          <bgColor rgb="FFFFF4DF"/>
        </patternFill>
      </fill>
    </dxf>
    <dxf>
      <font>
        <b/>
        <color rgb="FF087A55"/>
      </font>
      <fill>
        <patternFill patternType="solid">
          <bgColor rgb="FFE8F7F1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087A55"/>
      </font>
      <fill>
        <patternFill patternType="solid">
          <bgColor rgb="FFE8F7F1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A15C00"/>
      </font>
      <fill>
        <patternFill patternType="solid">
          <bgColor rgb="FFFFF4DF"/>
        </patternFill>
      </fill>
    </dxf>
    <dxf>
      <font>
        <b/>
        <color rgb="FF087A55"/>
      </font>
      <fill>
        <patternFill patternType="solid">
          <bgColor rgb="FFE8F7F1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087A55"/>
      </font>
      <fill>
        <patternFill patternType="solid">
          <bgColor rgb="FFE8F7F1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A15C00"/>
      </font>
      <fill>
        <patternFill patternType="solid">
          <bgColor rgb="FFFFF4DF"/>
        </patternFill>
      </fill>
    </dxf>
    <dxf>
      <font>
        <b/>
        <color rgb="FF087A55"/>
      </font>
      <fill>
        <patternFill patternType="solid">
          <bgColor rgb="FFE8F7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mpactvsEliteTable" displayName="CompactvsEliteTable" ref="A1:K18" totalsRowShown="0">
  <autoFilter ref="A1:K18" xr:uid="{00000000-0009-0000-0100-000002000000}"/>
  <tableColumns count="11">
    <tableColumn id="1" xr3:uid="{00000000-0010-0000-0100-000001000000}" name="SKU Fitness Tech"/>
    <tableColumn id="2" xr3:uid="{00000000-0010-0000-0100-000002000000}" name="Máquina Fitness Tech"/>
    <tableColumn id="3" xr3:uid="{00000000-0010-0000-0100-000003000000}" name="PVP FT"/>
    <tableColumn id="4" xr3:uid="{00000000-0010-0000-0100-000004000000}" name="Equivalencia"/>
    <tableColumn id="5" xr3:uid="{00000000-0010-0000-0100-000005000000}" name="Máquina Titanium"/>
    <tableColumn id="6" xr3:uid="{00000000-0010-0000-0100-000006000000}" name="PVP Titanium"/>
    <tableColumn id="7" xr3:uid="{00000000-0010-0000-0100-000007000000}" name="Dif. FT − Titanium"/>
    <tableColumn id="8" xr3:uid="{00000000-0010-0000-0100-000008000000}" name="Variación vs Titanium"/>
    <tableColumn id="9" xr3:uid="{00000000-0010-0000-0100-000009000000}" name="Enlace disponible"/>
    <tableColumn id="10" xr3:uid="{00000000-0010-0000-0100-00000A000000}" name="URL Titanium"/>
    <tableColumn id="11" xr3:uid="{00000000-0010-0000-0100-00000B000000}" name="Observacion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ovsBlackTable" displayName="ProvsBlackTable" ref="A1:K20" totalsRowShown="0">
  <autoFilter ref="A1:K20" xr:uid="{00000000-0009-0000-0100-000003000000}"/>
  <tableColumns count="11">
    <tableColumn id="1" xr3:uid="{00000000-0010-0000-0200-000001000000}" name="SKU Fitness Tech"/>
    <tableColumn id="2" xr3:uid="{00000000-0010-0000-0200-000002000000}" name="Máquina Fitness Tech"/>
    <tableColumn id="3" xr3:uid="{00000000-0010-0000-0200-000003000000}" name="PVP FT"/>
    <tableColumn id="4" xr3:uid="{00000000-0010-0000-0200-000004000000}" name="Equivalencia"/>
    <tableColumn id="5" xr3:uid="{00000000-0010-0000-0200-000005000000}" name="Máquina Titanium"/>
    <tableColumn id="6" xr3:uid="{00000000-0010-0000-0200-000006000000}" name="PVP Titanium"/>
    <tableColumn id="7" xr3:uid="{00000000-0010-0000-0200-000007000000}" name="Dif. FT − Titanium"/>
    <tableColumn id="8" xr3:uid="{00000000-0010-0000-0200-000008000000}" name="Variación vs Titanium"/>
    <tableColumn id="9" xr3:uid="{00000000-0010-0000-0200-000009000000}" name="Enlace disponible"/>
    <tableColumn id="10" xr3:uid="{00000000-0010-0000-0200-00000A000000}" name="URL Titanium"/>
    <tableColumn id="11" xr3:uid="{00000000-0010-0000-0200-00000B000000}" name="Observacion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AdvancedvsBlackRXTable" displayName="AdvancedvsBlackRXTable" ref="A1:K20" totalsRowShown="0">
  <autoFilter ref="A1:K20" xr:uid="{00000000-0009-0000-0100-000004000000}"/>
  <tableColumns count="11">
    <tableColumn id="1" xr3:uid="{00000000-0010-0000-0300-000001000000}" name="SKU Fitness Tech"/>
    <tableColumn id="2" xr3:uid="{00000000-0010-0000-0300-000002000000}" name="Máquina Fitness Tech"/>
    <tableColumn id="3" xr3:uid="{00000000-0010-0000-0300-000003000000}" name="PVP FT"/>
    <tableColumn id="4" xr3:uid="{00000000-0010-0000-0300-000004000000}" name="Equivalencia"/>
    <tableColumn id="5" xr3:uid="{00000000-0010-0000-0300-000005000000}" name="Máquina Titanium"/>
    <tableColumn id="6" xr3:uid="{00000000-0010-0000-0300-000006000000}" name="PVP Titanium"/>
    <tableColumn id="7" xr3:uid="{00000000-0010-0000-0300-000007000000}" name="Dif. FT − Titanium"/>
    <tableColumn id="8" xr3:uid="{00000000-0010-0000-0300-000008000000}" name="Variación vs Titanium"/>
    <tableColumn id="9" xr3:uid="{00000000-0010-0000-0300-000009000000}" name="Enlace disponible"/>
    <tableColumn id="10" xr3:uid="{00000000-0010-0000-0300-00000A000000}" name="URL Titanium"/>
    <tableColumn id="11" xr3:uid="{00000000-0010-0000-0300-00000B000000}" name="Observacion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roTechvsGenesisTable" displayName="ProTechvsGenesisTable" ref="A1:K16" totalsRowShown="0">
  <autoFilter ref="A1:K16" xr:uid="{00000000-0009-0000-0100-000005000000}"/>
  <tableColumns count="11">
    <tableColumn id="1" xr3:uid="{00000000-0010-0000-0400-000001000000}" name="SKU Fitness Tech"/>
    <tableColumn id="2" xr3:uid="{00000000-0010-0000-0400-000002000000}" name="Máquina Fitness Tech"/>
    <tableColumn id="3" xr3:uid="{00000000-0010-0000-0400-000003000000}" name="PVP FT"/>
    <tableColumn id="4" xr3:uid="{00000000-0010-0000-0400-000004000000}" name="Equivalencia"/>
    <tableColumn id="5" xr3:uid="{00000000-0010-0000-0400-000005000000}" name="Máquina Titanium"/>
    <tableColumn id="6" xr3:uid="{00000000-0010-0000-0400-000006000000}" name="PVP Titanium"/>
    <tableColumn id="7" xr3:uid="{00000000-0010-0000-0400-000007000000}" name="Dif. FT − Titanium"/>
    <tableColumn id="8" xr3:uid="{00000000-0010-0000-0400-000008000000}" name="Variación vs Titanium"/>
    <tableColumn id="9" xr3:uid="{00000000-0010-0000-0400-000009000000}" name="Enlace disponible"/>
    <tableColumn id="10" xr3:uid="{00000000-0010-0000-0400-00000A000000}" name="URL Titanium"/>
    <tableColumn id="11" xr3:uid="{00000000-0010-0000-0400-00000B000000}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8"/>
  <sheetViews>
    <sheetView showGridLines="0" topLeftCell="A8" workbookViewId="0">
      <selection activeCell="B9" sqref="B9"/>
    </sheetView>
  </sheetViews>
  <sheetFormatPr baseColWidth="10" defaultColWidth="8.796875" defaultRowHeight="13.8"/>
  <cols>
    <col min="1" max="1" width="15" customWidth="1"/>
    <col min="2" max="2" width="34" customWidth="1"/>
    <col min="3" max="3" width="13" customWidth="1"/>
    <col min="4" max="4" width="18" customWidth="1"/>
    <col min="5" max="5" width="42" customWidth="1"/>
    <col min="6" max="6" width="15" customWidth="1"/>
    <col min="7" max="8" width="17" customWidth="1"/>
    <col min="9" max="9" width="13" customWidth="1"/>
    <col min="10" max="10" width="46" customWidth="1"/>
    <col min="11" max="11" width="43" customWidth="1"/>
  </cols>
  <sheetData>
    <row r="1" spans="1:11" ht="34.049999999999997" customHeight="1">
      <c r="A1" s="1" t="s">
        <v>6</v>
      </c>
      <c r="B1" s="1" t="s">
        <v>1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</row>
    <row r="2" spans="1:11" ht="34.049999999999997" customHeight="1">
      <c r="A2" s="2" t="s">
        <v>16</v>
      </c>
      <c r="B2" s="3" t="s">
        <v>17</v>
      </c>
      <c r="C2" s="4">
        <v>1599</v>
      </c>
      <c r="D2" s="5" t="s">
        <v>18</v>
      </c>
      <c r="E2" s="3" t="s">
        <v>19</v>
      </c>
      <c r="F2" s="4">
        <v>1395</v>
      </c>
      <c r="G2" s="4">
        <f t="shared" ref="G2:G18" si="0">C2-F2</f>
        <v>204</v>
      </c>
      <c r="H2" s="6">
        <f t="shared" ref="H2:H18" si="1">G2/F2</f>
        <v>0.14623655913978495</v>
      </c>
      <c r="I2" s="7" t="s">
        <v>20</v>
      </c>
      <c r="J2" s="8" t="s">
        <v>21</v>
      </c>
      <c r="K2" s="3" t="s">
        <v>22</v>
      </c>
    </row>
    <row r="3" spans="1:11" ht="34.049999999999997" customHeight="1">
      <c r="A3" s="2" t="s">
        <v>23</v>
      </c>
      <c r="B3" s="3" t="s">
        <v>24</v>
      </c>
      <c r="C3" s="4">
        <v>1599</v>
      </c>
      <c r="D3" s="5" t="s">
        <v>18</v>
      </c>
      <c r="E3" s="3" t="s">
        <v>25</v>
      </c>
      <c r="F3" s="4">
        <v>1895</v>
      </c>
      <c r="G3" s="4">
        <f t="shared" si="0"/>
        <v>-296</v>
      </c>
      <c r="H3" s="6">
        <f t="shared" si="1"/>
        <v>-0.15620052770448548</v>
      </c>
      <c r="I3" s="7" t="s">
        <v>20</v>
      </c>
      <c r="J3" s="8" t="s">
        <v>26</v>
      </c>
      <c r="K3" s="3" t="s">
        <v>22</v>
      </c>
    </row>
    <row r="4" spans="1:11" ht="34.049999999999997" customHeight="1">
      <c r="A4" s="2" t="s">
        <v>27</v>
      </c>
      <c r="B4" s="3" t="s">
        <v>28</v>
      </c>
      <c r="C4" s="4">
        <v>1599</v>
      </c>
      <c r="D4" s="5" t="s">
        <v>18</v>
      </c>
      <c r="E4" s="3" t="s">
        <v>29</v>
      </c>
      <c r="F4" s="4">
        <v>1895</v>
      </c>
      <c r="G4" s="4">
        <f t="shared" si="0"/>
        <v>-296</v>
      </c>
      <c r="H4" s="6">
        <f t="shared" si="1"/>
        <v>-0.15620052770448548</v>
      </c>
      <c r="I4" s="7" t="s">
        <v>20</v>
      </c>
      <c r="J4" s="8" t="s">
        <v>30</v>
      </c>
      <c r="K4" s="3" t="s">
        <v>31</v>
      </c>
    </row>
    <row r="5" spans="1:11" ht="34.049999999999997" customHeight="1">
      <c r="A5" s="2" t="s">
        <v>32</v>
      </c>
      <c r="B5" s="3" t="s">
        <v>33</v>
      </c>
      <c r="C5" s="4">
        <v>1599</v>
      </c>
      <c r="D5" s="5" t="s">
        <v>18</v>
      </c>
      <c r="E5" s="3" t="s">
        <v>34</v>
      </c>
      <c r="F5" s="4">
        <v>1395</v>
      </c>
      <c r="G5" s="4">
        <f t="shared" si="0"/>
        <v>204</v>
      </c>
      <c r="H5" s="6">
        <f t="shared" si="1"/>
        <v>0.14623655913978495</v>
      </c>
      <c r="I5" s="7" t="s">
        <v>20</v>
      </c>
      <c r="J5" s="8" t="s">
        <v>35</v>
      </c>
      <c r="K5" s="3" t="s">
        <v>36</v>
      </c>
    </row>
    <row r="6" spans="1:11" ht="34.049999999999997" customHeight="1">
      <c r="A6" s="2" t="s">
        <v>37</v>
      </c>
      <c r="B6" s="3" t="s">
        <v>38</v>
      </c>
      <c r="C6" s="4">
        <v>1599</v>
      </c>
      <c r="D6" s="5" t="s">
        <v>18</v>
      </c>
      <c r="E6" s="3" t="s">
        <v>39</v>
      </c>
      <c r="F6" s="4">
        <v>1895</v>
      </c>
      <c r="G6" s="4">
        <f t="shared" si="0"/>
        <v>-296</v>
      </c>
      <c r="H6" s="6">
        <f t="shared" si="1"/>
        <v>-0.15620052770448548</v>
      </c>
      <c r="I6" s="7" t="s">
        <v>20</v>
      </c>
      <c r="J6" s="8" t="s">
        <v>40</v>
      </c>
      <c r="K6" s="3" t="s">
        <v>36</v>
      </c>
    </row>
    <row r="7" spans="1:11" ht="34.049999999999997" customHeight="1">
      <c r="A7" s="2" t="s">
        <v>41</v>
      </c>
      <c r="B7" s="3" t="s">
        <v>42</v>
      </c>
      <c r="C7" s="4">
        <v>1599</v>
      </c>
      <c r="D7" s="5" t="s">
        <v>18</v>
      </c>
      <c r="E7" s="3" t="s">
        <v>43</v>
      </c>
      <c r="F7" s="4">
        <v>1395</v>
      </c>
      <c r="G7" s="4">
        <f t="shared" si="0"/>
        <v>204</v>
      </c>
      <c r="H7" s="6">
        <f t="shared" si="1"/>
        <v>0.14623655913978495</v>
      </c>
      <c r="I7" s="7" t="s">
        <v>20</v>
      </c>
      <c r="J7" s="8" t="s">
        <v>44</v>
      </c>
      <c r="K7" s="3" t="s">
        <v>31</v>
      </c>
    </row>
    <row r="8" spans="1:11" ht="34.049999999999997" customHeight="1">
      <c r="A8" s="2" t="s">
        <v>45</v>
      </c>
      <c r="B8" s="3" t="s">
        <v>46</v>
      </c>
      <c r="C8" s="4">
        <v>1599</v>
      </c>
      <c r="D8" s="5" t="s">
        <v>47</v>
      </c>
      <c r="E8" s="3" t="s">
        <v>48</v>
      </c>
      <c r="F8" s="4">
        <v>1995</v>
      </c>
      <c r="G8" s="4">
        <f t="shared" si="0"/>
        <v>-396</v>
      </c>
      <c r="H8" s="6">
        <f t="shared" si="1"/>
        <v>-0.19849624060150375</v>
      </c>
      <c r="I8" s="7" t="s">
        <v>20</v>
      </c>
      <c r="J8" s="8" t="s">
        <v>49</v>
      </c>
      <c r="K8" s="3" t="s">
        <v>50</v>
      </c>
    </row>
    <row r="9" spans="1:11" ht="34.049999999999997" customHeight="1">
      <c r="A9" s="2" t="s">
        <v>51</v>
      </c>
      <c r="B9" s="3" t="s">
        <v>52</v>
      </c>
      <c r="C9" s="4">
        <v>1599</v>
      </c>
      <c r="D9" s="5" t="s">
        <v>47</v>
      </c>
      <c r="E9" s="3" t="s">
        <v>53</v>
      </c>
      <c r="F9" s="4">
        <v>1895</v>
      </c>
      <c r="G9" s="4">
        <f t="shared" si="0"/>
        <v>-296</v>
      </c>
      <c r="H9" s="6">
        <f t="shared" si="1"/>
        <v>-0.15620052770448548</v>
      </c>
      <c r="I9" s="7" t="s">
        <v>20</v>
      </c>
      <c r="J9" s="8" t="s">
        <v>54</v>
      </c>
      <c r="K9" s="3" t="s">
        <v>55</v>
      </c>
    </row>
    <row r="10" spans="1:11" ht="34.049999999999997" customHeight="1">
      <c r="A10" s="2" t="s">
        <v>56</v>
      </c>
      <c r="B10" s="3" t="s">
        <v>57</v>
      </c>
      <c r="C10" s="4">
        <v>1599</v>
      </c>
      <c r="D10" s="5" t="s">
        <v>18</v>
      </c>
      <c r="E10" s="3" t="s">
        <v>58</v>
      </c>
      <c r="F10" s="4">
        <v>1395</v>
      </c>
      <c r="G10" s="4">
        <f t="shared" si="0"/>
        <v>204</v>
      </c>
      <c r="H10" s="6">
        <f t="shared" si="1"/>
        <v>0.14623655913978495</v>
      </c>
      <c r="I10" s="7" t="s">
        <v>20</v>
      </c>
      <c r="J10" s="8" t="s">
        <v>59</v>
      </c>
      <c r="K10" s="3" t="s">
        <v>31</v>
      </c>
    </row>
    <row r="11" spans="1:11" ht="34.049999999999997" customHeight="1">
      <c r="A11" s="2" t="s">
        <v>60</v>
      </c>
      <c r="B11" s="3" t="s">
        <v>61</v>
      </c>
      <c r="C11" s="4">
        <v>1599</v>
      </c>
      <c r="D11" s="5" t="s">
        <v>18</v>
      </c>
      <c r="E11" s="3" t="s">
        <v>62</v>
      </c>
      <c r="F11" s="4">
        <v>1395</v>
      </c>
      <c r="G11" s="4">
        <f t="shared" si="0"/>
        <v>204</v>
      </c>
      <c r="H11" s="6">
        <f t="shared" si="1"/>
        <v>0.14623655913978495</v>
      </c>
      <c r="I11" s="7" t="s">
        <v>20</v>
      </c>
      <c r="J11" s="8" t="s">
        <v>63</v>
      </c>
      <c r="K11" s="3" t="s">
        <v>31</v>
      </c>
    </row>
    <row r="12" spans="1:11" ht="34.049999999999997" customHeight="1">
      <c r="A12" s="2" t="s">
        <v>64</v>
      </c>
      <c r="B12" s="3" t="s">
        <v>65</v>
      </c>
      <c r="C12" s="4">
        <v>1599</v>
      </c>
      <c r="D12" s="5" t="s">
        <v>18</v>
      </c>
      <c r="E12" s="3" t="s">
        <v>66</v>
      </c>
      <c r="F12" s="4">
        <v>1895</v>
      </c>
      <c r="G12" s="4">
        <f t="shared" si="0"/>
        <v>-296</v>
      </c>
      <c r="H12" s="6">
        <f t="shared" si="1"/>
        <v>-0.15620052770448548</v>
      </c>
      <c r="I12" s="7" t="s">
        <v>20</v>
      </c>
      <c r="J12" s="8" t="s">
        <v>67</v>
      </c>
      <c r="K12" s="3" t="s">
        <v>36</v>
      </c>
    </row>
    <row r="13" spans="1:11" ht="34.049999999999997" customHeight="1">
      <c r="A13" s="2" t="s">
        <v>68</v>
      </c>
      <c r="B13" s="3" t="s">
        <v>69</v>
      </c>
      <c r="C13" s="4">
        <v>1699</v>
      </c>
      <c r="D13" s="5" t="s">
        <v>18</v>
      </c>
      <c r="E13" s="3" t="s">
        <v>70</v>
      </c>
      <c r="F13" s="4">
        <v>1995</v>
      </c>
      <c r="G13" s="4">
        <f t="shared" si="0"/>
        <v>-296</v>
      </c>
      <c r="H13" s="6">
        <f t="shared" si="1"/>
        <v>-0.14837092731829574</v>
      </c>
      <c r="I13" s="7" t="s">
        <v>20</v>
      </c>
      <c r="J13" s="8" t="s">
        <v>71</v>
      </c>
      <c r="K13" s="3" t="s">
        <v>22</v>
      </c>
    </row>
    <row r="14" spans="1:11" ht="34.049999999999997" customHeight="1">
      <c r="A14" s="2" t="s">
        <v>72</v>
      </c>
      <c r="B14" s="3" t="s">
        <v>73</v>
      </c>
      <c r="C14" s="4">
        <v>1699</v>
      </c>
      <c r="D14" s="5" t="s">
        <v>18</v>
      </c>
      <c r="E14" s="3" t="s">
        <v>74</v>
      </c>
      <c r="F14" s="4">
        <v>1895</v>
      </c>
      <c r="G14" s="4">
        <f t="shared" si="0"/>
        <v>-196</v>
      </c>
      <c r="H14" s="6">
        <f t="shared" si="1"/>
        <v>-0.10343007915567283</v>
      </c>
      <c r="I14" s="7" t="s">
        <v>20</v>
      </c>
      <c r="J14" s="8" t="s">
        <v>75</v>
      </c>
      <c r="K14" s="3" t="s">
        <v>22</v>
      </c>
    </row>
    <row r="15" spans="1:11" ht="34.049999999999997" customHeight="1">
      <c r="A15" s="2" t="s">
        <v>76</v>
      </c>
      <c r="B15" s="3" t="s">
        <v>77</v>
      </c>
      <c r="C15" s="4">
        <v>1699</v>
      </c>
      <c r="D15" s="5" t="s">
        <v>18</v>
      </c>
      <c r="E15" s="3" t="s">
        <v>78</v>
      </c>
      <c r="F15" s="4">
        <v>1895</v>
      </c>
      <c r="G15" s="4">
        <f t="shared" si="0"/>
        <v>-196</v>
      </c>
      <c r="H15" s="6">
        <f t="shared" si="1"/>
        <v>-0.10343007915567283</v>
      </c>
      <c r="I15" s="7" t="s">
        <v>20</v>
      </c>
      <c r="J15" s="8" t="s">
        <v>79</v>
      </c>
      <c r="K15" s="3" t="s">
        <v>80</v>
      </c>
    </row>
    <row r="16" spans="1:11" ht="34.049999999999997" customHeight="1">
      <c r="A16" s="2" t="s">
        <v>81</v>
      </c>
      <c r="B16" s="3" t="s">
        <v>82</v>
      </c>
      <c r="C16" s="4">
        <v>1699</v>
      </c>
      <c r="D16" s="5" t="s">
        <v>18</v>
      </c>
      <c r="E16" s="3" t="s">
        <v>83</v>
      </c>
      <c r="F16" s="4">
        <v>1995</v>
      </c>
      <c r="G16" s="4">
        <f t="shared" si="0"/>
        <v>-296</v>
      </c>
      <c r="H16" s="6">
        <f t="shared" si="1"/>
        <v>-0.14837092731829574</v>
      </c>
      <c r="I16" s="7" t="s">
        <v>20</v>
      </c>
      <c r="J16" s="8" t="s">
        <v>84</v>
      </c>
      <c r="K16" s="3" t="s">
        <v>85</v>
      </c>
    </row>
    <row r="17" spans="1:11" ht="34.049999999999997" customHeight="1">
      <c r="A17" s="2" t="s">
        <v>86</v>
      </c>
      <c r="B17" s="3" t="s">
        <v>87</v>
      </c>
      <c r="C17" s="4">
        <v>1699</v>
      </c>
      <c r="D17" s="5" t="s">
        <v>18</v>
      </c>
      <c r="E17" s="3" t="s">
        <v>88</v>
      </c>
      <c r="F17" s="4">
        <v>1795</v>
      </c>
      <c r="G17" s="4">
        <f t="shared" si="0"/>
        <v>-96</v>
      </c>
      <c r="H17" s="6">
        <f t="shared" si="1"/>
        <v>-5.3481894150417826E-2</v>
      </c>
      <c r="I17" s="7" t="s">
        <v>20</v>
      </c>
      <c r="J17" s="8" t="s">
        <v>89</v>
      </c>
      <c r="K17" s="3" t="s">
        <v>31</v>
      </c>
    </row>
    <row r="18" spans="1:11" ht="34.049999999999997" customHeight="1">
      <c r="A18" s="2" t="s">
        <v>90</v>
      </c>
      <c r="B18" s="3" t="s">
        <v>91</v>
      </c>
      <c r="C18" s="4">
        <v>1699</v>
      </c>
      <c r="D18" s="5" t="s">
        <v>18</v>
      </c>
      <c r="E18" s="3" t="s">
        <v>92</v>
      </c>
      <c r="F18" s="4">
        <v>1395</v>
      </c>
      <c r="G18" s="4">
        <f t="shared" si="0"/>
        <v>304</v>
      </c>
      <c r="H18" s="6">
        <f t="shared" si="1"/>
        <v>0.21792114695340503</v>
      </c>
      <c r="I18" s="7" t="s">
        <v>20</v>
      </c>
      <c r="J18" s="8" t="s">
        <v>93</v>
      </c>
      <c r="K18" s="3" t="s">
        <v>31</v>
      </c>
    </row>
  </sheetData>
  <conditionalFormatting sqref="D2:D18">
    <cfRule type="containsText" dxfId="19" priority="1" operator="containsText" text="Directa"/>
    <cfRule type="containsText" dxfId="18" priority="2" operator="containsText" text="Aproximada"/>
    <cfRule type="containsText" dxfId="17" priority="3" operator="containsText" text="Sin equivalente"/>
  </conditionalFormatting>
  <conditionalFormatting sqref="G2:G18">
    <cfRule type="cellIs" dxfId="16" priority="4" operator="lessThan">
      <formula>0</formula>
    </cfRule>
    <cfRule type="cellIs" dxfId="15" priority="5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"/>
  <sheetViews>
    <sheetView showGridLines="0" tabSelected="1" topLeftCell="A11" workbookViewId="0">
      <selection activeCell="D7" sqref="D7"/>
    </sheetView>
  </sheetViews>
  <sheetFormatPr baseColWidth="10" defaultColWidth="8.796875" defaultRowHeight="13.8"/>
  <cols>
    <col min="1" max="1" width="15" customWidth="1"/>
    <col min="2" max="2" width="34" customWidth="1"/>
    <col min="3" max="3" width="13" customWidth="1"/>
    <col min="4" max="4" width="18" customWidth="1"/>
    <col min="5" max="5" width="42" customWidth="1"/>
    <col min="6" max="6" width="15" customWidth="1"/>
    <col min="7" max="8" width="17" customWidth="1"/>
    <col min="9" max="9" width="13" customWidth="1"/>
    <col min="10" max="10" width="46" customWidth="1"/>
    <col min="11" max="11" width="43" customWidth="1"/>
  </cols>
  <sheetData>
    <row r="1" spans="1:11" ht="34.049999999999997" customHeight="1">
      <c r="A1" s="1" t="s">
        <v>6</v>
      </c>
      <c r="B1" s="1" t="s">
        <v>1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</row>
    <row r="2" spans="1:11" ht="34.049999999999997" customHeight="1">
      <c r="A2" s="2" t="s">
        <v>2</v>
      </c>
      <c r="B2" s="3" t="s">
        <v>3</v>
      </c>
      <c r="C2" s="4">
        <v>1699</v>
      </c>
      <c r="D2" s="5" t="s">
        <v>0</v>
      </c>
      <c r="E2" s="3"/>
      <c r="F2" s="4"/>
      <c r="G2" s="4"/>
      <c r="H2" s="6"/>
      <c r="I2" s="7"/>
      <c r="J2" s="8"/>
      <c r="K2" s="3" t="s">
        <v>94</v>
      </c>
    </row>
    <row r="3" spans="1:11" ht="34.049999999999997" customHeight="1">
      <c r="A3" s="2" t="s">
        <v>95</v>
      </c>
      <c r="B3" s="3" t="s">
        <v>96</v>
      </c>
      <c r="C3" s="4">
        <v>1799</v>
      </c>
      <c r="D3" s="5" t="s">
        <v>18</v>
      </c>
      <c r="E3" s="3" t="s">
        <v>97</v>
      </c>
      <c r="F3" s="4">
        <v>1595</v>
      </c>
      <c r="G3" s="4">
        <f t="shared" ref="G3:G20" si="0">C3-F3</f>
        <v>204</v>
      </c>
      <c r="H3" s="6">
        <f t="shared" ref="H3:H20" si="1">G3/F3</f>
        <v>0.12789968652037617</v>
      </c>
      <c r="I3" s="7" t="s">
        <v>20</v>
      </c>
      <c r="J3" s="8" t="s">
        <v>98</v>
      </c>
      <c r="K3" s="3" t="s">
        <v>99</v>
      </c>
    </row>
    <row r="4" spans="1:11" ht="34.049999999999997" customHeight="1">
      <c r="A4" s="2" t="s">
        <v>100</v>
      </c>
      <c r="B4" s="3" t="s">
        <v>69</v>
      </c>
      <c r="C4" s="4">
        <v>1899</v>
      </c>
      <c r="D4" s="5" t="s">
        <v>18</v>
      </c>
      <c r="E4" s="3" t="s">
        <v>101</v>
      </c>
      <c r="F4" s="4">
        <v>2195</v>
      </c>
      <c r="G4" s="4">
        <f t="shared" si="0"/>
        <v>-296</v>
      </c>
      <c r="H4" s="6">
        <f t="shared" si="1"/>
        <v>-0.1348519362186788</v>
      </c>
      <c r="I4" s="7" t="s">
        <v>20</v>
      </c>
      <c r="J4" s="8" t="s">
        <v>102</v>
      </c>
      <c r="K4" s="3" t="s">
        <v>22</v>
      </c>
    </row>
    <row r="5" spans="1:11" ht="34.049999999999997" customHeight="1">
      <c r="A5" s="2" t="s">
        <v>103</v>
      </c>
      <c r="B5" s="3" t="s">
        <v>17</v>
      </c>
      <c r="C5" s="4">
        <v>1899</v>
      </c>
      <c r="D5" s="5" t="s">
        <v>18</v>
      </c>
      <c r="E5" s="3" t="s">
        <v>104</v>
      </c>
      <c r="F5" s="4">
        <v>2195</v>
      </c>
      <c r="G5" s="4">
        <f t="shared" si="0"/>
        <v>-296</v>
      </c>
      <c r="H5" s="6">
        <f t="shared" si="1"/>
        <v>-0.1348519362186788</v>
      </c>
      <c r="I5" s="7" t="s">
        <v>20</v>
      </c>
      <c r="J5" s="8" t="s">
        <v>105</v>
      </c>
      <c r="K5" s="3" t="s">
        <v>22</v>
      </c>
    </row>
    <row r="6" spans="1:11" ht="34.049999999999997" customHeight="1">
      <c r="A6" s="2" t="s">
        <v>106</v>
      </c>
      <c r="B6" s="3" t="s">
        <v>107</v>
      </c>
      <c r="C6" s="4">
        <v>1899</v>
      </c>
      <c r="D6" s="5" t="s">
        <v>18</v>
      </c>
      <c r="E6" s="3" t="s">
        <v>108</v>
      </c>
      <c r="F6" s="4">
        <v>2195</v>
      </c>
      <c r="G6" s="4">
        <f t="shared" si="0"/>
        <v>-296</v>
      </c>
      <c r="H6" s="6">
        <f t="shared" si="1"/>
        <v>-0.1348519362186788</v>
      </c>
      <c r="I6" s="7" t="s">
        <v>20</v>
      </c>
      <c r="J6" s="8" t="s">
        <v>109</v>
      </c>
      <c r="K6" s="3" t="s">
        <v>22</v>
      </c>
    </row>
    <row r="7" spans="1:11" ht="34.049999999999997" customHeight="1">
      <c r="A7" s="2" t="s">
        <v>110</v>
      </c>
      <c r="B7" s="3" t="s">
        <v>28</v>
      </c>
      <c r="C7" s="4">
        <v>1899</v>
      </c>
      <c r="D7" s="5" t="s">
        <v>18</v>
      </c>
      <c r="E7" s="3" t="s">
        <v>111</v>
      </c>
      <c r="F7" s="4">
        <v>2195</v>
      </c>
      <c r="G7" s="4">
        <f t="shared" si="0"/>
        <v>-296</v>
      </c>
      <c r="H7" s="6">
        <f t="shared" si="1"/>
        <v>-0.1348519362186788</v>
      </c>
      <c r="I7" s="7" t="s">
        <v>20</v>
      </c>
      <c r="J7" s="8" t="s">
        <v>112</v>
      </c>
      <c r="K7" s="3" t="s">
        <v>31</v>
      </c>
    </row>
    <row r="8" spans="1:11" ht="34.049999999999997" customHeight="1">
      <c r="A8" s="2" t="s">
        <v>113</v>
      </c>
      <c r="B8" s="3" t="s">
        <v>33</v>
      </c>
      <c r="C8" s="4">
        <v>1899</v>
      </c>
      <c r="D8" s="5" t="s">
        <v>18</v>
      </c>
      <c r="E8" s="3" t="s">
        <v>114</v>
      </c>
      <c r="F8" s="4">
        <v>2195</v>
      </c>
      <c r="G8" s="4">
        <f t="shared" si="0"/>
        <v>-296</v>
      </c>
      <c r="H8" s="6">
        <f t="shared" si="1"/>
        <v>-0.1348519362186788</v>
      </c>
      <c r="I8" s="7" t="s">
        <v>20</v>
      </c>
      <c r="J8" s="8" t="s">
        <v>115</v>
      </c>
      <c r="K8" s="3" t="s">
        <v>36</v>
      </c>
    </row>
    <row r="9" spans="1:11" ht="34.049999999999997" customHeight="1">
      <c r="A9" s="2" t="s">
        <v>116</v>
      </c>
      <c r="B9" s="3" t="s">
        <v>38</v>
      </c>
      <c r="C9" s="4">
        <v>1899</v>
      </c>
      <c r="D9" s="5" t="s">
        <v>18</v>
      </c>
      <c r="E9" s="3" t="s">
        <v>117</v>
      </c>
      <c r="F9" s="4">
        <v>2195</v>
      </c>
      <c r="G9" s="4">
        <f t="shared" si="0"/>
        <v>-296</v>
      </c>
      <c r="H9" s="6">
        <f t="shared" si="1"/>
        <v>-0.1348519362186788</v>
      </c>
      <c r="I9" s="7" t="s">
        <v>20</v>
      </c>
      <c r="J9" s="8" t="s">
        <v>118</v>
      </c>
      <c r="K9" s="3" t="s">
        <v>36</v>
      </c>
    </row>
    <row r="10" spans="1:11" ht="34.049999999999997" customHeight="1">
      <c r="A10" s="2" t="s">
        <v>119</v>
      </c>
      <c r="B10" s="3" t="s">
        <v>46</v>
      </c>
      <c r="C10" s="4">
        <v>1899</v>
      </c>
      <c r="D10" s="5" t="s">
        <v>47</v>
      </c>
      <c r="E10" s="3" t="s">
        <v>120</v>
      </c>
      <c r="F10" s="4">
        <v>2195</v>
      </c>
      <c r="G10" s="4">
        <f t="shared" si="0"/>
        <v>-296</v>
      </c>
      <c r="H10" s="6">
        <f t="shared" si="1"/>
        <v>-0.1348519362186788</v>
      </c>
      <c r="I10" s="7" t="s">
        <v>20</v>
      </c>
      <c r="J10" s="8" t="s">
        <v>121</v>
      </c>
      <c r="K10" s="3" t="s">
        <v>50</v>
      </c>
    </row>
    <row r="11" spans="1:11" ht="34.049999999999997" customHeight="1">
      <c r="A11" s="2" t="s">
        <v>122</v>
      </c>
      <c r="B11" s="3" t="s">
        <v>52</v>
      </c>
      <c r="C11" s="4">
        <v>1899</v>
      </c>
      <c r="D11" s="5" t="s">
        <v>47</v>
      </c>
      <c r="E11" s="3" t="s">
        <v>123</v>
      </c>
      <c r="F11" s="4">
        <v>2195</v>
      </c>
      <c r="G11" s="4">
        <f t="shared" si="0"/>
        <v>-296</v>
      </c>
      <c r="H11" s="6">
        <f t="shared" si="1"/>
        <v>-0.1348519362186788</v>
      </c>
      <c r="I11" s="7" t="s">
        <v>20</v>
      </c>
      <c r="J11" s="8" t="s">
        <v>124</v>
      </c>
      <c r="K11" s="3" t="s">
        <v>55</v>
      </c>
    </row>
    <row r="12" spans="1:11" ht="34.049999999999997" customHeight="1">
      <c r="A12" s="2" t="s">
        <v>125</v>
      </c>
      <c r="B12" s="3" t="s">
        <v>57</v>
      </c>
      <c r="C12" s="4">
        <v>1899</v>
      </c>
      <c r="D12" s="5" t="s">
        <v>18</v>
      </c>
      <c r="E12" s="3" t="s">
        <v>126</v>
      </c>
      <c r="F12" s="4">
        <v>2195</v>
      </c>
      <c r="G12" s="4">
        <f t="shared" si="0"/>
        <v>-296</v>
      </c>
      <c r="H12" s="6">
        <f t="shared" si="1"/>
        <v>-0.1348519362186788</v>
      </c>
      <c r="I12" s="7" t="s">
        <v>20</v>
      </c>
      <c r="J12" s="8" t="s">
        <v>127</v>
      </c>
      <c r="K12" s="3" t="s">
        <v>31</v>
      </c>
    </row>
    <row r="13" spans="1:11" ht="34.049999999999997" customHeight="1">
      <c r="A13" s="2" t="s">
        <v>128</v>
      </c>
      <c r="B13" s="3" t="s">
        <v>129</v>
      </c>
      <c r="C13" s="4">
        <v>1899</v>
      </c>
      <c r="D13" s="5" t="s">
        <v>18</v>
      </c>
      <c r="E13" s="3" t="s">
        <v>130</v>
      </c>
      <c r="F13" s="4">
        <v>2195</v>
      </c>
      <c r="G13" s="4">
        <f t="shared" si="0"/>
        <v>-296</v>
      </c>
      <c r="H13" s="6">
        <f t="shared" si="1"/>
        <v>-0.1348519362186788</v>
      </c>
      <c r="I13" s="7" t="s">
        <v>20</v>
      </c>
      <c r="J13" s="8" t="s">
        <v>131</v>
      </c>
      <c r="K13" s="3" t="s">
        <v>31</v>
      </c>
    </row>
    <row r="14" spans="1:11" ht="34.049999999999997" customHeight="1">
      <c r="A14" s="2" t="s">
        <v>132</v>
      </c>
      <c r="B14" s="3" t="s">
        <v>133</v>
      </c>
      <c r="C14" s="4">
        <v>1899</v>
      </c>
      <c r="D14" s="5" t="s">
        <v>18</v>
      </c>
      <c r="E14" s="3" t="s">
        <v>134</v>
      </c>
      <c r="F14" s="4">
        <v>2195</v>
      </c>
      <c r="G14" s="4">
        <f t="shared" si="0"/>
        <v>-296</v>
      </c>
      <c r="H14" s="6">
        <f t="shared" si="1"/>
        <v>-0.1348519362186788</v>
      </c>
      <c r="I14" s="7" t="s">
        <v>20</v>
      </c>
      <c r="J14" s="8" t="s">
        <v>135</v>
      </c>
      <c r="K14" s="3" t="s">
        <v>31</v>
      </c>
    </row>
    <row r="15" spans="1:11" ht="34.049999999999997" customHeight="1">
      <c r="A15" s="2" t="s">
        <v>136</v>
      </c>
      <c r="B15" s="3" t="s">
        <v>65</v>
      </c>
      <c r="C15" s="4">
        <v>1899</v>
      </c>
      <c r="D15" s="5" t="s">
        <v>18</v>
      </c>
      <c r="E15" s="3" t="s">
        <v>137</v>
      </c>
      <c r="F15" s="4">
        <v>1595</v>
      </c>
      <c r="G15" s="4">
        <f t="shared" si="0"/>
        <v>304</v>
      </c>
      <c r="H15" s="6">
        <f t="shared" si="1"/>
        <v>0.19059561128526645</v>
      </c>
      <c r="I15" s="7" t="s">
        <v>20</v>
      </c>
      <c r="J15" s="8" t="s">
        <v>138</v>
      </c>
      <c r="K15" s="3" t="s">
        <v>139</v>
      </c>
    </row>
    <row r="16" spans="1:11" ht="34.049999999999997" customHeight="1">
      <c r="A16" s="2" t="s">
        <v>140</v>
      </c>
      <c r="B16" s="3" t="s">
        <v>42</v>
      </c>
      <c r="C16" s="4">
        <v>1899.9</v>
      </c>
      <c r="D16" s="5" t="s">
        <v>18</v>
      </c>
      <c r="E16" s="3" t="s">
        <v>141</v>
      </c>
      <c r="F16" s="4">
        <v>2195</v>
      </c>
      <c r="G16" s="4">
        <f t="shared" si="0"/>
        <v>-295.09999999999991</v>
      </c>
      <c r="H16" s="6">
        <f t="shared" si="1"/>
        <v>-0.13444191343963549</v>
      </c>
      <c r="I16" s="7" t="s">
        <v>20</v>
      </c>
      <c r="J16" s="8" t="s">
        <v>142</v>
      </c>
      <c r="K16" s="3" t="s">
        <v>31</v>
      </c>
    </row>
    <row r="17" spans="1:11" ht="34.049999999999997" customHeight="1">
      <c r="A17" s="2" t="s">
        <v>143</v>
      </c>
      <c r="B17" s="3" t="s">
        <v>73</v>
      </c>
      <c r="C17" s="4">
        <v>1999</v>
      </c>
      <c r="D17" s="5" t="s">
        <v>18</v>
      </c>
      <c r="E17" s="3" t="s">
        <v>144</v>
      </c>
      <c r="F17" s="4">
        <v>2195</v>
      </c>
      <c r="G17" s="4">
        <f t="shared" si="0"/>
        <v>-196</v>
      </c>
      <c r="H17" s="6">
        <f t="shared" si="1"/>
        <v>-8.9293849658314356E-2</v>
      </c>
      <c r="I17" s="7" t="s">
        <v>20</v>
      </c>
      <c r="J17" s="8" t="s">
        <v>145</v>
      </c>
      <c r="K17" s="3" t="s">
        <v>22</v>
      </c>
    </row>
    <row r="18" spans="1:11" ht="34.049999999999997" customHeight="1">
      <c r="A18" s="2" t="s">
        <v>146</v>
      </c>
      <c r="B18" s="3" t="s">
        <v>77</v>
      </c>
      <c r="C18" s="4">
        <v>2099</v>
      </c>
      <c r="D18" s="5" t="s">
        <v>18</v>
      </c>
      <c r="E18" s="3" t="s">
        <v>147</v>
      </c>
      <c r="F18" s="4">
        <v>2195</v>
      </c>
      <c r="G18" s="4">
        <f t="shared" si="0"/>
        <v>-96</v>
      </c>
      <c r="H18" s="6">
        <f t="shared" si="1"/>
        <v>-4.3735763097949888E-2</v>
      </c>
      <c r="I18" s="7" t="s">
        <v>20</v>
      </c>
      <c r="J18" s="8" t="s">
        <v>148</v>
      </c>
      <c r="K18" s="3" t="s">
        <v>80</v>
      </c>
    </row>
    <row r="19" spans="1:11" ht="34.049999999999997" customHeight="1">
      <c r="A19" s="2" t="s">
        <v>149</v>
      </c>
      <c r="B19" s="3" t="s">
        <v>82</v>
      </c>
      <c r="C19" s="4">
        <v>2199</v>
      </c>
      <c r="D19" s="5" t="s">
        <v>18</v>
      </c>
      <c r="E19" s="3" t="s">
        <v>150</v>
      </c>
      <c r="F19" s="4">
        <v>2195</v>
      </c>
      <c r="G19" s="4">
        <f t="shared" si="0"/>
        <v>4</v>
      </c>
      <c r="H19" s="6">
        <f t="shared" si="1"/>
        <v>1.8223234624145787E-3</v>
      </c>
      <c r="I19" s="7" t="s">
        <v>20</v>
      </c>
      <c r="J19" s="8" t="s">
        <v>151</v>
      </c>
      <c r="K19" s="3" t="s">
        <v>85</v>
      </c>
    </row>
    <row r="20" spans="1:11" ht="34.049999999999997" customHeight="1">
      <c r="A20" s="2" t="s">
        <v>152</v>
      </c>
      <c r="B20" s="3" t="s">
        <v>87</v>
      </c>
      <c r="C20" s="4">
        <v>2199</v>
      </c>
      <c r="D20" s="5" t="s">
        <v>18</v>
      </c>
      <c r="E20" s="3" t="s">
        <v>153</v>
      </c>
      <c r="F20" s="4">
        <v>2395</v>
      </c>
      <c r="G20" s="4">
        <f t="shared" si="0"/>
        <v>-196</v>
      </c>
      <c r="H20" s="6">
        <f t="shared" si="1"/>
        <v>-8.183716075156576E-2</v>
      </c>
      <c r="I20" s="7" t="s">
        <v>20</v>
      </c>
      <c r="J20" s="8" t="s">
        <v>154</v>
      </c>
      <c r="K20" s="3" t="s">
        <v>31</v>
      </c>
    </row>
  </sheetData>
  <conditionalFormatting sqref="D2:D20">
    <cfRule type="containsText" dxfId="14" priority="1" operator="containsText" text="Directa"/>
    <cfRule type="containsText" dxfId="13" priority="2" operator="containsText" text="Aproximada"/>
    <cfRule type="containsText" dxfId="12" priority="3" operator="containsText" text="Sin equivalente"/>
  </conditionalFormatting>
  <conditionalFormatting sqref="G2:G20">
    <cfRule type="cellIs" dxfId="11" priority="4" operator="lessThan">
      <formula>0</formula>
    </cfRule>
    <cfRule type="cellIs" dxfId="10" priority="5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0"/>
  <sheetViews>
    <sheetView showGridLines="0" topLeftCell="D1" workbookViewId="0">
      <selection activeCell="J5" sqref="J5"/>
    </sheetView>
  </sheetViews>
  <sheetFormatPr baseColWidth="10" defaultColWidth="8.796875" defaultRowHeight="13.8"/>
  <cols>
    <col min="1" max="1" width="15" customWidth="1"/>
    <col min="2" max="2" width="34" customWidth="1"/>
    <col min="3" max="3" width="13" customWidth="1"/>
    <col min="4" max="4" width="18" customWidth="1"/>
    <col min="5" max="5" width="42" customWidth="1"/>
    <col min="6" max="6" width="15" customWidth="1"/>
    <col min="7" max="8" width="17" customWidth="1"/>
    <col min="9" max="9" width="13" customWidth="1"/>
    <col min="10" max="10" width="46" customWidth="1"/>
    <col min="11" max="11" width="43" customWidth="1"/>
  </cols>
  <sheetData>
    <row r="1" spans="1:11" ht="34.049999999999997" customHeight="1">
      <c r="A1" s="1" t="s">
        <v>6</v>
      </c>
      <c r="B1" s="1" t="s">
        <v>1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</row>
    <row r="2" spans="1:11" ht="34.049999999999997" customHeight="1">
      <c r="A2" s="2" t="s">
        <v>155</v>
      </c>
      <c r="B2" s="3" t="s">
        <v>28</v>
      </c>
      <c r="C2" s="4">
        <v>2099</v>
      </c>
      <c r="D2" s="5" t="s">
        <v>18</v>
      </c>
      <c r="E2" s="3" t="s">
        <v>156</v>
      </c>
      <c r="F2" s="4">
        <v>2395</v>
      </c>
      <c r="G2" s="4">
        <f>C2-F2</f>
        <v>-296</v>
      </c>
      <c r="H2" s="6">
        <f>G2/F2</f>
        <v>-0.12359081419624217</v>
      </c>
      <c r="I2" s="7" t="s">
        <v>20</v>
      </c>
      <c r="J2" s="8" t="s">
        <v>157</v>
      </c>
      <c r="K2" s="3" t="s">
        <v>31</v>
      </c>
    </row>
    <row r="3" spans="1:11" ht="34.049999999999997" customHeight="1">
      <c r="A3" s="2" t="s">
        <v>158</v>
      </c>
      <c r="B3" s="3" t="s">
        <v>33</v>
      </c>
      <c r="C3" s="4">
        <v>2099</v>
      </c>
      <c r="D3" s="5" t="s">
        <v>18</v>
      </c>
      <c r="E3" s="3" t="s">
        <v>159</v>
      </c>
      <c r="F3" s="4">
        <v>2395</v>
      </c>
      <c r="G3" s="4">
        <f>C3-F3</f>
        <v>-296</v>
      </c>
      <c r="H3" s="6">
        <f>G3/F3</f>
        <v>-0.12359081419624217</v>
      </c>
      <c r="I3" s="7" t="s">
        <v>20</v>
      </c>
      <c r="J3" s="8" t="s">
        <v>160</v>
      </c>
      <c r="K3" s="3" t="s">
        <v>36</v>
      </c>
    </row>
    <row r="4" spans="1:11" ht="34.049999999999997" customHeight="1">
      <c r="A4" s="2" t="s">
        <v>161</v>
      </c>
      <c r="B4" s="3" t="s">
        <v>38</v>
      </c>
      <c r="C4" s="4">
        <v>2099</v>
      </c>
      <c r="D4" s="5" t="s">
        <v>18</v>
      </c>
      <c r="E4" s="3" t="s">
        <v>162</v>
      </c>
      <c r="F4" s="4">
        <v>2395</v>
      </c>
      <c r="G4" s="4">
        <f>C4-F4</f>
        <v>-296</v>
      </c>
      <c r="H4" s="6">
        <f>G4/F4</f>
        <v>-0.12359081419624217</v>
      </c>
      <c r="I4" s="7" t="s">
        <v>20</v>
      </c>
      <c r="J4" s="8" t="s">
        <v>163</v>
      </c>
      <c r="K4" s="3" t="s">
        <v>36</v>
      </c>
    </row>
    <row r="5" spans="1:11" ht="34.049999999999997" customHeight="1">
      <c r="A5" s="2" t="s">
        <v>4</v>
      </c>
      <c r="B5" s="3" t="s">
        <v>5</v>
      </c>
      <c r="C5" s="4">
        <v>2099</v>
      </c>
      <c r="D5" s="5" t="s">
        <v>0</v>
      </c>
      <c r="E5" s="3"/>
      <c r="F5" s="4"/>
      <c r="G5" s="4"/>
      <c r="H5" s="6"/>
      <c r="I5" s="7"/>
      <c r="J5" s="8"/>
      <c r="K5" s="3" t="s">
        <v>164</v>
      </c>
    </row>
    <row r="6" spans="1:11" ht="34.049999999999997" customHeight="1">
      <c r="A6" s="2" t="s">
        <v>165</v>
      </c>
      <c r="B6" s="3" t="s">
        <v>166</v>
      </c>
      <c r="C6" s="4">
        <v>2099</v>
      </c>
      <c r="D6" s="5" t="s">
        <v>18</v>
      </c>
      <c r="E6" s="3" t="s">
        <v>167</v>
      </c>
      <c r="F6" s="4">
        <v>2395</v>
      </c>
      <c r="G6" s="4">
        <f t="shared" ref="G6:G20" si="0">C6-F6</f>
        <v>-296</v>
      </c>
      <c r="H6" s="6">
        <f t="shared" ref="H6:H20" si="1">G6/F6</f>
        <v>-0.12359081419624217</v>
      </c>
      <c r="I6" s="7" t="s">
        <v>20</v>
      </c>
      <c r="J6" s="8" t="s">
        <v>168</v>
      </c>
      <c r="K6" s="3" t="s">
        <v>31</v>
      </c>
    </row>
    <row r="7" spans="1:11" ht="34.049999999999997" customHeight="1">
      <c r="A7" s="2" t="s">
        <v>169</v>
      </c>
      <c r="B7" s="3" t="s">
        <v>170</v>
      </c>
      <c r="C7" s="4">
        <v>2099</v>
      </c>
      <c r="D7" s="5" t="s">
        <v>18</v>
      </c>
      <c r="E7" s="3" t="s">
        <v>171</v>
      </c>
      <c r="F7" s="4">
        <v>2395</v>
      </c>
      <c r="G7" s="4">
        <f t="shared" si="0"/>
        <v>-296</v>
      </c>
      <c r="H7" s="6">
        <f t="shared" si="1"/>
        <v>-0.12359081419624217</v>
      </c>
      <c r="I7" s="7" t="s">
        <v>20</v>
      </c>
      <c r="J7" s="8" t="s">
        <v>172</v>
      </c>
      <c r="K7" s="3" t="s">
        <v>31</v>
      </c>
    </row>
    <row r="8" spans="1:11" ht="34.049999999999997" customHeight="1">
      <c r="A8" s="2" t="s">
        <v>173</v>
      </c>
      <c r="B8" s="3" t="s">
        <v>42</v>
      </c>
      <c r="C8" s="4">
        <v>2099</v>
      </c>
      <c r="D8" s="5" t="s">
        <v>18</v>
      </c>
      <c r="E8" s="3" t="s">
        <v>174</v>
      </c>
      <c r="F8" s="4">
        <v>2395</v>
      </c>
      <c r="G8" s="4">
        <f t="shared" si="0"/>
        <v>-296</v>
      </c>
      <c r="H8" s="6">
        <f t="shared" si="1"/>
        <v>-0.12359081419624217</v>
      </c>
      <c r="I8" s="7" t="s">
        <v>20</v>
      </c>
      <c r="J8" s="8" t="s">
        <v>175</v>
      </c>
      <c r="K8" s="3" t="s">
        <v>31</v>
      </c>
    </row>
    <row r="9" spans="1:11" ht="34.049999999999997" customHeight="1">
      <c r="A9" s="2" t="s">
        <v>176</v>
      </c>
      <c r="B9" s="3" t="s">
        <v>57</v>
      </c>
      <c r="C9" s="4">
        <v>2099</v>
      </c>
      <c r="D9" s="5" t="s">
        <v>18</v>
      </c>
      <c r="E9" s="3" t="s">
        <v>177</v>
      </c>
      <c r="F9" s="4">
        <v>2395</v>
      </c>
      <c r="G9" s="4">
        <f t="shared" si="0"/>
        <v>-296</v>
      </c>
      <c r="H9" s="6">
        <f t="shared" si="1"/>
        <v>-0.12359081419624217</v>
      </c>
      <c r="I9" s="7" t="s">
        <v>20</v>
      </c>
      <c r="J9" s="8" t="s">
        <v>178</v>
      </c>
      <c r="K9" s="3" t="s">
        <v>31</v>
      </c>
    </row>
    <row r="10" spans="1:11" ht="34.049999999999997" customHeight="1">
      <c r="A10" s="2" t="s">
        <v>179</v>
      </c>
      <c r="B10" s="3" t="s">
        <v>129</v>
      </c>
      <c r="C10" s="4">
        <v>2099</v>
      </c>
      <c r="D10" s="5" t="s">
        <v>18</v>
      </c>
      <c r="E10" s="3" t="s">
        <v>180</v>
      </c>
      <c r="F10" s="4">
        <v>2395</v>
      </c>
      <c r="G10" s="4">
        <f t="shared" si="0"/>
        <v>-296</v>
      </c>
      <c r="H10" s="6">
        <f t="shared" si="1"/>
        <v>-0.12359081419624217</v>
      </c>
      <c r="I10" s="7" t="s">
        <v>20</v>
      </c>
      <c r="J10" s="8" t="s">
        <v>181</v>
      </c>
      <c r="K10" s="3" t="s">
        <v>31</v>
      </c>
    </row>
    <row r="11" spans="1:11" ht="34.049999999999997" customHeight="1">
      <c r="A11" s="2" t="s">
        <v>182</v>
      </c>
      <c r="B11" s="3" t="s">
        <v>133</v>
      </c>
      <c r="C11" s="4">
        <v>2099</v>
      </c>
      <c r="D11" s="5" t="s">
        <v>18</v>
      </c>
      <c r="E11" s="3" t="s">
        <v>183</v>
      </c>
      <c r="F11" s="4">
        <v>2395</v>
      </c>
      <c r="G11" s="4">
        <f t="shared" si="0"/>
        <v>-296</v>
      </c>
      <c r="H11" s="6">
        <f t="shared" si="1"/>
        <v>-0.12359081419624217</v>
      </c>
      <c r="I11" s="7" t="s">
        <v>20</v>
      </c>
      <c r="J11" s="8" t="s">
        <v>184</v>
      </c>
      <c r="K11" s="3" t="s">
        <v>31</v>
      </c>
    </row>
    <row r="12" spans="1:11" ht="34.049999999999997" customHeight="1">
      <c r="A12" s="2" t="s">
        <v>185</v>
      </c>
      <c r="B12" s="3" t="s">
        <v>65</v>
      </c>
      <c r="C12" s="4">
        <v>2099</v>
      </c>
      <c r="D12" s="5" t="s">
        <v>47</v>
      </c>
      <c r="E12" s="3" t="s">
        <v>183</v>
      </c>
      <c r="F12" s="4">
        <v>2395</v>
      </c>
      <c r="G12" s="4">
        <f t="shared" si="0"/>
        <v>-296</v>
      </c>
      <c r="H12" s="6">
        <f t="shared" si="1"/>
        <v>-0.12359081419624217</v>
      </c>
      <c r="I12" s="7" t="s">
        <v>20</v>
      </c>
      <c r="J12" s="8" t="s">
        <v>184</v>
      </c>
      <c r="K12" s="3" t="s">
        <v>186</v>
      </c>
    </row>
    <row r="13" spans="1:11" ht="34.049999999999997" customHeight="1">
      <c r="A13" s="2" t="s">
        <v>187</v>
      </c>
      <c r="B13" s="3" t="s">
        <v>69</v>
      </c>
      <c r="C13" s="4">
        <v>2199</v>
      </c>
      <c r="D13" s="5" t="s">
        <v>18</v>
      </c>
      <c r="E13" s="3" t="s">
        <v>188</v>
      </c>
      <c r="F13" s="4">
        <v>2395</v>
      </c>
      <c r="G13" s="4">
        <f t="shared" si="0"/>
        <v>-196</v>
      </c>
      <c r="H13" s="6">
        <f t="shared" si="1"/>
        <v>-8.183716075156576E-2</v>
      </c>
      <c r="I13" s="7" t="s">
        <v>20</v>
      </c>
      <c r="J13" s="8" t="s">
        <v>189</v>
      </c>
      <c r="K13" s="3" t="s">
        <v>22</v>
      </c>
    </row>
    <row r="14" spans="1:11" ht="34.049999999999997" customHeight="1">
      <c r="A14" s="2" t="s">
        <v>190</v>
      </c>
      <c r="B14" s="3" t="s">
        <v>73</v>
      </c>
      <c r="C14" s="4">
        <v>2199</v>
      </c>
      <c r="D14" s="5" t="s">
        <v>18</v>
      </c>
      <c r="E14" s="3" t="s">
        <v>191</v>
      </c>
      <c r="F14" s="4">
        <v>2395</v>
      </c>
      <c r="G14" s="4">
        <f t="shared" si="0"/>
        <v>-196</v>
      </c>
      <c r="H14" s="6">
        <f t="shared" si="1"/>
        <v>-8.183716075156576E-2</v>
      </c>
      <c r="I14" s="7" t="s">
        <v>20</v>
      </c>
      <c r="J14" s="8" t="s">
        <v>192</v>
      </c>
      <c r="K14" s="3" t="s">
        <v>22</v>
      </c>
    </row>
    <row r="15" spans="1:11" ht="34.049999999999997" customHeight="1">
      <c r="A15" s="2" t="s">
        <v>193</v>
      </c>
      <c r="B15" s="3" t="s">
        <v>17</v>
      </c>
      <c r="C15" s="4">
        <v>2199</v>
      </c>
      <c r="D15" s="5" t="s">
        <v>18</v>
      </c>
      <c r="E15" s="3" t="s">
        <v>194</v>
      </c>
      <c r="F15" s="4">
        <v>2395</v>
      </c>
      <c r="G15" s="4">
        <f t="shared" si="0"/>
        <v>-196</v>
      </c>
      <c r="H15" s="6">
        <f t="shared" si="1"/>
        <v>-8.183716075156576E-2</v>
      </c>
      <c r="I15" s="7" t="s">
        <v>20</v>
      </c>
      <c r="J15" s="8" t="s">
        <v>195</v>
      </c>
      <c r="K15" s="3" t="s">
        <v>22</v>
      </c>
    </row>
    <row r="16" spans="1:11" ht="34.049999999999997" customHeight="1">
      <c r="A16" s="2" t="s">
        <v>196</v>
      </c>
      <c r="B16" s="3" t="s">
        <v>107</v>
      </c>
      <c r="C16" s="4">
        <v>2199</v>
      </c>
      <c r="D16" s="5" t="s">
        <v>18</v>
      </c>
      <c r="E16" s="3" t="s">
        <v>197</v>
      </c>
      <c r="F16" s="4">
        <v>2395</v>
      </c>
      <c r="G16" s="4">
        <f t="shared" si="0"/>
        <v>-196</v>
      </c>
      <c r="H16" s="6">
        <f t="shared" si="1"/>
        <v>-8.183716075156576E-2</v>
      </c>
      <c r="I16" s="7" t="s">
        <v>20</v>
      </c>
      <c r="J16" s="8" t="s">
        <v>198</v>
      </c>
      <c r="K16" s="3" t="s">
        <v>22</v>
      </c>
    </row>
    <row r="17" spans="1:11" ht="34.049999999999997" customHeight="1">
      <c r="A17" s="2" t="s">
        <v>199</v>
      </c>
      <c r="B17" s="3" t="s">
        <v>77</v>
      </c>
      <c r="C17" s="4">
        <v>2199</v>
      </c>
      <c r="D17" s="5" t="s">
        <v>18</v>
      </c>
      <c r="E17" s="3" t="s">
        <v>200</v>
      </c>
      <c r="F17" s="4">
        <v>2495</v>
      </c>
      <c r="G17" s="4">
        <f t="shared" si="0"/>
        <v>-296</v>
      </c>
      <c r="H17" s="6">
        <f t="shared" si="1"/>
        <v>-0.1186372745490982</v>
      </c>
      <c r="I17" s="7" t="s">
        <v>20</v>
      </c>
      <c r="J17" s="8" t="s">
        <v>201</v>
      </c>
      <c r="K17" s="3" t="s">
        <v>80</v>
      </c>
    </row>
    <row r="18" spans="1:11" ht="34.049999999999997" customHeight="1">
      <c r="A18" s="2" t="s">
        <v>202</v>
      </c>
      <c r="B18" s="3" t="s">
        <v>46</v>
      </c>
      <c r="C18" s="4">
        <v>2199</v>
      </c>
      <c r="D18" s="5" t="s">
        <v>47</v>
      </c>
      <c r="E18" s="3" t="s">
        <v>203</v>
      </c>
      <c r="F18" s="4">
        <v>2395</v>
      </c>
      <c r="G18" s="4">
        <f t="shared" si="0"/>
        <v>-196</v>
      </c>
      <c r="H18" s="6">
        <f t="shared" si="1"/>
        <v>-8.183716075156576E-2</v>
      </c>
      <c r="I18" s="7" t="s">
        <v>20</v>
      </c>
      <c r="J18" s="8" t="s">
        <v>204</v>
      </c>
      <c r="K18" s="3" t="s">
        <v>50</v>
      </c>
    </row>
    <row r="19" spans="1:11" ht="34.049999999999997" customHeight="1">
      <c r="A19" s="2" t="s">
        <v>205</v>
      </c>
      <c r="B19" s="3" t="s">
        <v>52</v>
      </c>
      <c r="C19" s="4">
        <v>2199</v>
      </c>
      <c r="D19" s="5" t="s">
        <v>47</v>
      </c>
      <c r="E19" s="3" t="s">
        <v>206</v>
      </c>
      <c r="F19" s="4">
        <v>2695</v>
      </c>
      <c r="G19" s="4">
        <f t="shared" si="0"/>
        <v>-496</v>
      </c>
      <c r="H19" s="6">
        <f t="shared" si="1"/>
        <v>-0.18404452690166975</v>
      </c>
      <c r="I19" s="7" t="s">
        <v>20</v>
      </c>
      <c r="J19" s="8" t="s">
        <v>207</v>
      </c>
      <c r="K19" s="3" t="s">
        <v>55</v>
      </c>
    </row>
    <row r="20" spans="1:11" ht="34.049999999999997" customHeight="1">
      <c r="A20" s="2" t="s">
        <v>208</v>
      </c>
      <c r="B20" s="3" t="s">
        <v>87</v>
      </c>
      <c r="C20" s="4">
        <v>2299</v>
      </c>
      <c r="D20" s="5" t="s">
        <v>18</v>
      </c>
      <c r="E20" s="3" t="s">
        <v>209</v>
      </c>
      <c r="F20" s="4">
        <v>2395</v>
      </c>
      <c r="G20" s="4">
        <f t="shared" si="0"/>
        <v>-96</v>
      </c>
      <c r="H20" s="6">
        <f t="shared" si="1"/>
        <v>-4.0083507306889352E-2</v>
      </c>
      <c r="I20" s="7" t="s">
        <v>20</v>
      </c>
      <c r="J20" s="8" t="s">
        <v>210</v>
      </c>
      <c r="K20" s="3" t="s">
        <v>31</v>
      </c>
    </row>
  </sheetData>
  <conditionalFormatting sqref="D2:D20">
    <cfRule type="containsText" dxfId="9" priority="1" operator="containsText" text="Directa"/>
    <cfRule type="containsText" dxfId="8" priority="2" operator="containsText" text="Aproximada"/>
    <cfRule type="containsText" dxfId="7" priority="3" operator="containsText" text="Sin equivalente"/>
  </conditionalFormatting>
  <conditionalFormatting sqref="G2:G20">
    <cfRule type="cellIs" dxfId="6" priority="4" operator="lessThan">
      <formula>0</formula>
    </cfRule>
    <cfRule type="cellIs" dxfId="5" priority="5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6"/>
  <sheetViews>
    <sheetView showGridLines="0" workbookViewId="0">
      <selection activeCell="B6" sqref="B6"/>
    </sheetView>
  </sheetViews>
  <sheetFormatPr baseColWidth="10" defaultColWidth="8.796875" defaultRowHeight="13.8"/>
  <cols>
    <col min="1" max="1" width="15" customWidth="1"/>
    <col min="2" max="2" width="34" customWidth="1"/>
    <col min="3" max="3" width="13" customWidth="1"/>
    <col min="4" max="4" width="18" customWidth="1"/>
    <col min="5" max="5" width="42" customWidth="1"/>
    <col min="6" max="6" width="15" customWidth="1"/>
    <col min="7" max="8" width="17" customWidth="1"/>
    <col min="9" max="9" width="13" customWidth="1"/>
    <col min="10" max="10" width="46" customWidth="1"/>
    <col min="11" max="11" width="43" customWidth="1"/>
  </cols>
  <sheetData>
    <row r="1" spans="1:11" ht="34.049999999999997" customHeight="1">
      <c r="A1" s="1" t="s">
        <v>6</v>
      </c>
      <c r="B1" s="1" t="s">
        <v>1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</row>
    <row r="2" spans="1:11" ht="34.049999999999997" customHeight="1">
      <c r="A2" s="2" t="s">
        <v>211</v>
      </c>
      <c r="B2" s="3" t="s">
        <v>212</v>
      </c>
      <c r="C2" s="4">
        <v>2499</v>
      </c>
      <c r="D2" s="5" t="s">
        <v>18</v>
      </c>
      <c r="E2" s="3" t="s">
        <v>213</v>
      </c>
      <c r="F2" s="4">
        <v>2695</v>
      </c>
      <c r="G2" s="4">
        <f t="shared" ref="G2:G16" si="0">C2-F2</f>
        <v>-196</v>
      </c>
      <c r="H2" s="6">
        <f t="shared" ref="H2:H16" si="1">G2/F2</f>
        <v>-7.2727272727272724E-2</v>
      </c>
      <c r="I2" s="7" t="s">
        <v>20</v>
      </c>
      <c r="J2" s="8" t="s">
        <v>214</v>
      </c>
      <c r="K2" s="3" t="s">
        <v>31</v>
      </c>
    </row>
    <row r="3" spans="1:11" ht="34.049999999999997" customHeight="1">
      <c r="A3" s="2" t="s">
        <v>215</v>
      </c>
      <c r="B3" s="3" t="s">
        <v>28</v>
      </c>
      <c r="C3" s="4">
        <v>2499</v>
      </c>
      <c r="D3" s="5" t="s">
        <v>18</v>
      </c>
      <c r="E3" s="3" t="s">
        <v>216</v>
      </c>
      <c r="F3" s="4">
        <v>2695</v>
      </c>
      <c r="G3" s="4">
        <f t="shared" si="0"/>
        <v>-196</v>
      </c>
      <c r="H3" s="6">
        <f t="shared" si="1"/>
        <v>-7.2727272727272724E-2</v>
      </c>
      <c r="I3" s="7" t="s">
        <v>20</v>
      </c>
      <c r="J3" s="8" t="s">
        <v>217</v>
      </c>
      <c r="K3" s="3" t="s">
        <v>31</v>
      </c>
    </row>
    <row r="4" spans="1:11" ht="34.049999999999997" customHeight="1">
      <c r="A4" s="2" t="s">
        <v>218</v>
      </c>
      <c r="B4" s="3" t="s">
        <v>33</v>
      </c>
      <c r="C4" s="4">
        <v>2499</v>
      </c>
      <c r="D4" s="5" t="s">
        <v>18</v>
      </c>
      <c r="E4" s="3" t="s">
        <v>219</v>
      </c>
      <c r="F4" s="4">
        <v>2695</v>
      </c>
      <c r="G4" s="4">
        <f t="shared" si="0"/>
        <v>-196</v>
      </c>
      <c r="H4" s="6">
        <f t="shared" si="1"/>
        <v>-7.2727272727272724E-2</v>
      </c>
      <c r="I4" s="7" t="s">
        <v>20</v>
      </c>
      <c r="J4" s="8" t="s">
        <v>220</v>
      </c>
      <c r="K4" s="3" t="s">
        <v>36</v>
      </c>
    </row>
    <row r="5" spans="1:11" ht="34.049999999999997" customHeight="1">
      <c r="A5" s="2" t="s">
        <v>221</v>
      </c>
      <c r="B5" s="3" t="s">
        <v>38</v>
      </c>
      <c r="C5" s="4">
        <v>2499</v>
      </c>
      <c r="D5" s="5" t="s">
        <v>18</v>
      </c>
      <c r="E5" s="3" t="s">
        <v>222</v>
      </c>
      <c r="F5" s="4">
        <v>2695</v>
      </c>
      <c r="G5" s="4">
        <f t="shared" si="0"/>
        <v>-196</v>
      </c>
      <c r="H5" s="6">
        <f t="shared" si="1"/>
        <v>-7.2727272727272724E-2</v>
      </c>
      <c r="I5" s="7" t="s">
        <v>20</v>
      </c>
      <c r="J5" s="8" t="s">
        <v>223</v>
      </c>
      <c r="K5" s="3" t="s">
        <v>36</v>
      </c>
    </row>
    <row r="6" spans="1:11" ht="34.049999999999997" customHeight="1">
      <c r="A6" s="2" t="s">
        <v>224</v>
      </c>
      <c r="B6" s="3" t="s">
        <v>57</v>
      </c>
      <c r="C6" s="4">
        <v>2499</v>
      </c>
      <c r="D6" s="5" t="s">
        <v>18</v>
      </c>
      <c r="E6" s="3" t="s">
        <v>225</v>
      </c>
      <c r="F6" s="4">
        <v>2695</v>
      </c>
      <c r="G6" s="4">
        <f t="shared" si="0"/>
        <v>-196</v>
      </c>
      <c r="H6" s="6">
        <f t="shared" si="1"/>
        <v>-7.2727272727272724E-2</v>
      </c>
      <c r="I6" s="7" t="s">
        <v>20</v>
      </c>
      <c r="J6" s="8" t="s">
        <v>226</v>
      </c>
      <c r="K6" s="3" t="s">
        <v>31</v>
      </c>
    </row>
    <row r="7" spans="1:11" ht="34.049999999999997" customHeight="1">
      <c r="A7" s="2" t="s">
        <v>227</v>
      </c>
      <c r="B7" s="3" t="s">
        <v>129</v>
      </c>
      <c r="C7" s="4">
        <v>2499</v>
      </c>
      <c r="D7" s="5" t="s">
        <v>18</v>
      </c>
      <c r="E7" s="3" t="s">
        <v>228</v>
      </c>
      <c r="F7" s="4">
        <v>2695</v>
      </c>
      <c r="G7" s="4">
        <f t="shared" si="0"/>
        <v>-196</v>
      </c>
      <c r="H7" s="6">
        <f t="shared" si="1"/>
        <v>-7.2727272727272724E-2</v>
      </c>
      <c r="I7" s="7" t="s">
        <v>20</v>
      </c>
      <c r="J7" s="8" t="s">
        <v>229</v>
      </c>
      <c r="K7" s="3" t="s">
        <v>31</v>
      </c>
    </row>
    <row r="8" spans="1:11" ht="34.049999999999997" customHeight="1">
      <c r="A8" s="2" t="s">
        <v>230</v>
      </c>
      <c r="B8" s="3" t="s">
        <v>65</v>
      </c>
      <c r="C8" s="4">
        <v>2499</v>
      </c>
      <c r="D8" s="5" t="s">
        <v>18</v>
      </c>
      <c r="E8" s="3" t="s">
        <v>231</v>
      </c>
      <c r="F8" s="4">
        <v>2695</v>
      </c>
      <c r="G8" s="4">
        <f t="shared" si="0"/>
        <v>-196</v>
      </c>
      <c r="H8" s="6">
        <f t="shared" si="1"/>
        <v>-7.2727272727272724E-2</v>
      </c>
      <c r="I8" s="7" t="s">
        <v>20</v>
      </c>
      <c r="J8" s="8" t="s">
        <v>232</v>
      </c>
      <c r="K8" s="3" t="s">
        <v>36</v>
      </c>
    </row>
    <row r="9" spans="1:11" ht="34.049999999999997" customHeight="1">
      <c r="A9" s="2" t="s">
        <v>233</v>
      </c>
      <c r="B9" s="3" t="s">
        <v>69</v>
      </c>
      <c r="C9" s="4">
        <v>2599</v>
      </c>
      <c r="D9" s="5" t="s">
        <v>18</v>
      </c>
      <c r="E9" s="3" t="s">
        <v>234</v>
      </c>
      <c r="F9" s="4">
        <v>2695</v>
      </c>
      <c r="G9" s="4">
        <f t="shared" si="0"/>
        <v>-96</v>
      </c>
      <c r="H9" s="6">
        <f t="shared" si="1"/>
        <v>-3.5621521335807052E-2</v>
      </c>
      <c r="I9" s="7" t="s">
        <v>20</v>
      </c>
      <c r="J9" s="8" t="s">
        <v>235</v>
      </c>
      <c r="K9" s="3" t="s">
        <v>22</v>
      </c>
    </row>
    <row r="10" spans="1:11" ht="34.049999999999997" customHeight="1">
      <c r="A10" s="2" t="s">
        <v>236</v>
      </c>
      <c r="B10" s="3" t="s">
        <v>73</v>
      </c>
      <c r="C10" s="4">
        <v>2599</v>
      </c>
      <c r="D10" s="5" t="s">
        <v>18</v>
      </c>
      <c r="E10" s="3" t="s">
        <v>237</v>
      </c>
      <c r="F10" s="4">
        <v>2695</v>
      </c>
      <c r="G10" s="4">
        <f t="shared" si="0"/>
        <v>-96</v>
      </c>
      <c r="H10" s="6">
        <f t="shared" si="1"/>
        <v>-3.5621521335807052E-2</v>
      </c>
      <c r="I10" s="7" t="s">
        <v>20</v>
      </c>
      <c r="J10" s="8" t="s">
        <v>238</v>
      </c>
      <c r="K10" s="3" t="s">
        <v>22</v>
      </c>
    </row>
    <row r="11" spans="1:11" ht="34.049999999999997" customHeight="1">
      <c r="A11" s="2" t="s">
        <v>239</v>
      </c>
      <c r="B11" s="3" t="s">
        <v>17</v>
      </c>
      <c r="C11" s="4">
        <v>2599</v>
      </c>
      <c r="D11" s="5" t="s">
        <v>18</v>
      </c>
      <c r="E11" s="3" t="s">
        <v>240</v>
      </c>
      <c r="F11" s="4">
        <v>2695</v>
      </c>
      <c r="G11" s="4">
        <f t="shared" si="0"/>
        <v>-96</v>
      </c>
      <c r="H11" s="6">
        <f t="shared" si="1"/>
        <v>-3.5621521335807052E-2</v>
      </c>
      <c r="I11" s="7" t="s">
        <v>20</v>
      </c>
      <c r="J11" s="8" t="s">
        <v>241</v>
      </c>
      <c r="K11" s="3" t="s">
        <v>22</v>
      </c>
    </row>
    <row r="12" spans="1:11" ht="34.049999999999997" customHeight="1">
      <c r="A12" s="2" t="s">
        <v>242</v>
      </c>
      <c r="B12" s="3" t="s">
        <v>107</v>
      </c>
      <c r="C12" s="4">
        <v>2599</v>
      </c>
      <c r="D12" s="5" t="s">
        <v>18</v>
      </c>
      <c r="E12" s="3" t="s">
        <v>243</v>
      </c>
      <c r="F12" s="4">
        <v>2695</v>
      </c>
      <c r="G12" s="4">
        <f t="shared" si="0"/>
        <v>-96</v>
      </c>
      <c r="H12" s="6">
        <f t="shared" si="1"/>
        <v>-3.5621521335807052E-2</v>
      </c>
      <c r="I12" s="7" t="s">
        <v>20</v>
      </c>
      <c r="J12" s="8" t="s">
        <v>244</v>
      </c>
      <c r="K12" s="3" t="s">
        <v>22</v>
      </c>
    </row>
    <row r="13" spans="1:11" ht="34.049999999999997" customHeight="1">
      <c r="A13" s="2" t="s">
        <v>245</v>
      </c>
      <c r="B13" s="3" t="s">
        <v>46</v>
      </c>
      <c r="C13" s="4">
        <v>2599</v>
      </c>
      <c r="D13" s="5" t="s">
        <v>47</v>
      </c>
      <c r="E13" s="3" t="s">
        <v>246</v>
      </c>
      <c r="F13" s="4">
        <v>2695</v>
      </c>
      <c r="G13" s="4">
        <f t="shared" si="0"/>
        <v>-96</v>
      </c>
      <c r="H13" s="6">
        <f t="shared" si="1"/>
        <v>-3.5621521335807052E-2</v>
      </c>
      <c r="I13" s="7" t="s">
        <v>20</v>
      </c>
      <c r="J13" s="8" t="s">
        <v>247</v>
      </c>
      <c r="K13" s="3" t="s">
        <v>50</v>
      </c>
    </row>
    <row r="14" spans="1:11" ht="34.049999999999997" customHeight="1">
      <c r="A14" s="2" t="s">
        <v>248</v>
      </c>
      <c r="B14" s="3" t="s">
        <v>52</v>
      </c>
      <c r="C14" s="4">
        <v>2599</v>
      </c>
      <c r="D14" s="5" t="s">
        <v>47</v>
      </c>
      <c r="E14" s="3" t="s">
        <v>249</v>
      </c>
      <c r="F14" s="4">
        <v>2695</v>
      </c>
      <c r="G14" s="4">
        <f t="shared" si="0"/>
        <v>-96</v>
      </c>
      <c r="H14" s="6">
        <f t="shared" si="1"/>
        <v>-3.5621521335807052E-2</v>
      </c>
      <c r="I14" s="7" t="s">
        <v>20</v>
      </c>
      <c r="J14" s="8" t="s">
        <v>250</v>
      </c>
      <c r="K14" s="3" t="s">
        <v>251</v>
      </c>
    </row>
    <row r="15" spans="1:11" ht="34.049999999999997" customHeight="1">
      <c r="A15" s="2" t="s">
        <v>252</v>
      </c>
      <c r="B15" s="3" t="s">
        <v>77</v>
      </c>
      <c r="C15" s="4">
        <v>2799</v>
      </c>
      <c r="D15" s="5" t="s">
        <v>18</v>
      </c>
      <c r="E15" s="3" t="s">
        <v>253</v>
      </c>
      <c r="F15" s="4">
        <v>2695</v>
      </c>
      <c r="G15" s="4">
        <f t="shared" si="0"/>
        <v>104</v>
      </c>
      <c r="H15" s="6">
        <f t="shared" si="1"/>
        <v>3.8589981447124305E-2</v>
      </c>
      <c r="I15" s="7" t="s">
        <v>20</v>
      </c>
      <c r="J15" s="8" t="s">
        <v>254</v>
      </c>
      <c r="K15" s="3" t="s">
        <v>80</v>
      </c>
    </row>
    <row r="16" spans="1:11" ht="34.049999999999997" customHeight="1">
      <c r="A16" s="2" t="s">
        <v>255</v>
      </c>
      <c r="B16" s="3" t="s">
        <v>87</v>
      </c>
      <c r="C16" s="4">
        <v>2799</v>
      </c>
      <c r="D16" s="5" t="s">
        <v>18</v>
      </c>
      <c r="E16" s="3" t="s">
        <v>256</v>
      </c>
      <c r="F16" s="4">
        <v>3895</v>
      </c>
      <c r="G16" s="4">
        <f t="shared" si="0"/>
        <v>-1096</v>
      </c>
      <c r="H16" s="6">
        <f t="shared" si="1"/>
        <v>-0.28138639281129652</v>
      </c>
      <c r="I16" s="7" t="s">
        <v>20</v>
      </c>
      <c r="J16" s="8" t="s">
        <v>257</v>
      </c>
      <c r="K16" s="3" t="s">
        <v>31</v>
      </c>
    </row>
  </sheetData>
  <conditionalFormatting sqref="D2:D16">
    <cfRule type="containsText" dxfId="4" priority="1" operator="containsText" text="Directa"/>
    <cfRule type="containsText" dxfId="3" priority="2" operator="containsText" text="Aproximada"/>
    <cfRule type="containsText" dxfId="2" priority="3" operator="containsText" text="Sin equivalente"/>
  </conditionalFormatting>
  <conditionalFormatting sqref="G2:G16">
    <cfRule type="cellIs" dxfId="1" priority="4" operator="lessThan">
      <formula>0</formula>
    </cfRule>
    <cfRule type="cellIs" dxfId="0" priority="5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Compact vs Elite</vt:lpstr>
      <vt:lpstr>Pro vs Black</vt:lpstr>
      <vt:lpstr>Advanced vs Black RX</vt:lpstr>
      <vt:lpstr>Pro Tech vs Genesis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Belchi</dc:creator>
  <cp:lastModifiedBy>Diego Belchi</cp:lastModifiedBy>
  <dcterms:created xsi:type="dcterms:W3CDTF">2026-09-03T13:01:48Z</dcterms:created>
  <dcterms:modified xsi:type="dcterms:W3CDTF">2026-09-03T13:11:30Z</dcterms:modified>
</cp:coreProperties>
</file>